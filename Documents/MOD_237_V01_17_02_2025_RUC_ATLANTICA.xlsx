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1CD34986-72BB-4204-852E-56C57414D05D}" xr6:coauthVersionLast="47" xr6:coauthVersionMax="47" xr10:uidLastSave="{00000000-0000-0000-0000-000000000000}"/>
  <bookViews>
    <workbookView xWindow="-28920" yWindow="-120" windowWidth="29040" windowHeight="15840" xr2:uid="{17C7D6FB-A33F-D042-AD81-B590BC4A3FB1}"/>
  </bookViews>
  <sheets>
    <sheet name="RUC" sheetId="1" r:id="rId1"/>
  </sheets>
  <definedNames>
    <definedName name="_xlnm.Print_Area" localSheetId="0">RUC!$A$1:$Q$111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3" i="1" l="1"/>
  <c r="Q26" i="1"/>
  <c r="U62" i="1"/>
  <c r="T47" i="1" s="1"/>
  <c r="N62" i="1"/>
  <c r="L62" i="1"/>
  <c r="N61" i="1"/>
  <c r="L61" i="1"/>
  <c r="N60" i="1"/>
  <c r="L60" i="1"/>
  <c r="N58" i="1"/>
  <c r="N57" i="1"/>
  <c r="L57" i="1"/>
  <c r="N56" i="1"/>
  <c r="N55" i="1"/>
  <c r="L55" i="1"/>
  <c r="N54" i="1"/>
  <c r="L54" i="1"/>
  <c r="N53" i="1"/>
  <c r="L53" i="1"/>
  <c r="N52" i="1"/>
  <c r="L52" i="1"/>
  <c r="N51" i="1"/>
  <c r="L51" i="1"/>
  <c r="N50" i="1"/>
  <c r="L50" i="1"/>
  <c r="N49" i="1"/>
  <c r="L49" i="1"/>
  <c r="N48" i="1"/>
  <c r="Q31" i="1"/>
  <c r="Q30" i="1"/>
  <c r="Q29" i="1"/>
  <c r="Q28" i="1"/>
  <c r="Q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Utilizador do Microsoft Office</author>
    <author>Joao</author>
  </authors>
  <commentList>
    <comment ref="N12" authorId="0" shapeId="0" xr:uid="{C5F7ABB9-C853-334A-9D64-9456A4E6E483}">
      <text>
        <r>
          <rPr>
            <b/>
            <sz val="10"/>
            <color rgb="FF000000"/>
            <rFont val="Tahoma"/>
            <family val="2"/>
          </rPr>
          <t>Obrigatória/ ou Opcional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O25" authorId="1" shapeId="0" xr:uid="{324BB496-8020-D647-8640-D73077B68CA6}">
      <text>
        <r>
          <rPr>
            <sz val="8"/>
            <color rgb="FF000000"/>
            <rFont val="Tahoma"/>
            <family val="2"/>
          </rPr>
          <t xml:space="preserve">Número de aulas previstas de acordo com o calendário lectivo, excluindo os feriados e dispensas Reitorais.
</t>
        </r>
      </text>
    </comment>
    <comment ref="P25" authorId="1" shapeId="0" xr:uid="{ACC48BBB-26A1-1C4E-AED9-876D8D970332}">
      <text>
        <r>
          <rPr>
            <sz val="8"/>
            <color rgb="FF000000"/>
            <rFont val="Tahoma"/>
            <family val="2"/>
          </rPr>
          <t xml:space="preserve">Número de aulas efectivamente ministradas pelo docente.
</t>
        </r>
      </text>
    </comment>
  </commentList>
</comments>
</file>

<file path=xl/sharedStrings.xml><?xml version="1.0" encoding="utf-8"?>
<sst xmlns="http://schemas.openxmlformats.org/spreadsheetml/2006/main" count="118" uniqueCount="100">
  <si>
    <t>Docente responsável</t>
  </si>
  <si>
    <t>Nº total horas de contacto</t>
  </si>
  <si>
    <t>Unidade Curricular</t>
  </si>
  <si>
    <t>Ano</t>
  </si>
  <si>
    <t>Semestre</t>
  </si>
  <si>
    <t>ECTS</t>
  </si>
  <si>
    <t>Total de Horas</t>
  </si>
  <si>
    <t>Tipologia</t>
  </si>
  <si>
    <t>Horas de contacto</t>
  </si>
  <si>
    <t>T</t>
  </si>
  <si>
    <t>TP</t>
  </si>
  <si>
    <t>PL</t>
  </si>
  <si>
    <t>TC</t>
  </si>
  <si>
    <t>S</t>
  </si>
  <si>
    <t>OT</t>
  </si>
  <si>
    <t>O</t>
  </si>
  <si>
    <t>Total</t>
  </si>
  <si>
    <t>% EaD</t>
  </si>
  <si>
    <t>Nome do docente</t>
  </si>
  <si>
    <t>Nº de turmas</t>
  </si>
  <si>
    <t>Horas de contacto semanal</t>
  </si>
  <si>
    <t>Número de aulas</t>
  </si>
  <si>
    <t>% Aulas dadas</t>
  </si>
  <si>
    <t>Previstas</t>
  </si>
  <si>
    <t>Lecionadas</t>
  </si>
  <si>
    <t>2 - Momentos de avaliação</t>
  </si>
  <si>
    <t>Avaliação contínua</t>
  </si>
  <si>
    <t>Datas</t>
  </si>
  <si>
    <t>Avaliação final</t>
  </si>
  <si>
    <t>__/ __/ _____</t>
  </si>
  <si>
    <t>Exame da época normal</t>
  </si>
  <si>
    <t>__/ __/ ____</t>
  </si>
  <si>
    <t>Exame da época especial para estudantes finalistas</t>
  </si>
  <si>
    <t>Distribuição dos estudantes</t>
  </si>
  <si>
    <t>Nº de estudantes</t>
  </si>
  <si>
    <t>%</t>
  </si>
  <si>
    <t>% efetivas</t>
  </si>
  <si>
    <t>% reais</t>
  </si>
  <si>
    <t>Controlo (C=E)</t>
  </si>
  <si>
    <t>(A/A)*100</t>
  </si>
  <si>
    <t>(B/B)*100</t>
  </si>
  <si>
    <t>(B/A)*100</t>
  </si>
  <si>
    <t>C - Estudantes APROVADOS:</t>
  </si>
  <si>
    <t>(C/B)*100</t>
  </si>
  <si>
    <t>(C/A)*100</t>
  </si>
  <si>
    <t>Nota</t>
  </si>
  <si>
    <t xml:space="preserve">    C1 - em avaliação contínua;</t>
  </si>
  <si>
    <t>(C1/B)*100</t>
  </si>
  <si>
    <t>(C1/A)*100</t>
  </si>
  <si>
    <t xml:space="preserve">    C2 - em avaliação final: época normal;</t>
  </si>
  <si>
    <t>(C2/B)*100</t>
  </si>
  <si>
    <t>(C2/A)*100</t>
  </si>
  <si>
    <t>(C3/B)*100</t>
  </si>
  <si>
    <t>(C3/A)*100</t>
  </si>
  <si>
    <t xml:space="preserve">    C4 - em avaliação final: época especial para estudantes finalistas;</t>
  </si>
  <si>
    <t>(C4/B)*100</t>
  </si>
  <si>
    <t>(C4/A)*100</t>
  </si>
  <si>
    <t xml:space="preserve">    C5 - em avaliação final: época especial estud/ estatuto trab.-estudante.</t>
  </si>
  <si>
    <t>(C5/B)*100</t>
  </si>
  <si>
    <t>(C5/A)*100</t>
  </si>
  <si>
    <t>D - Estudantes REPROVADOS</t>
  </si>
  <si>
    <t>(D/A)*100</t>
  </si>
  <si>
    <t xml:space="preserve">    D1 - avaliados;</t>
  </si>
  <si>
    <t>(D1/B)*100</t>
  </si>
  <si>
    <t>(D1/A)*100</t>
  </si>
  <si>
    <t xml:space="preserve">    D2 - não avaliados.</t>
  </si>
  <si>
    <t>(D2/A)*100</t>
  </si>
  <si>
    <t xml:space="preserve"> E- Distribuição da CLASSIFICAÇÃO dos ESTUDANTES APROVADOS:</t>
  </si>
  <si>
    <t xml:space="preserve">    E1 - Estudantes com notas entre 10 e 13 valores;</t>
  </si>
  <si>
    <t>(E1/C)*100</t>
  </si>
  <si>
    <t>(E1/A)*100</t>
  </si>
  <si>
    <t xml:space="preserve">    E2 - Estudantes com notas entre 14 e 15 valores;</t>
  </si>
  <si>
    <t>(E2/C)*100</t>
  </si>
  <si>
    <t>(E2/A)*100</t>
  </si>
  <si>
    <t xml:space="preserve">    E3 - Estudantes com notas entre 16 e 20 valores.</t>
  </si>
  <si>
    <t>(E3/C)*100</t>
  </si>
  <si>
    <t>(E3/A)*100</t>
  </si>
  <si>
    <t>Soma</t>
  </si>
  <si>
    <t>(1) Não devem ser contabilizados os estudantes que desistindo não tenham entrgue um elemento de avaliação contínua ou de um exame;</t>
  </si>
  <si>
    <t>(2) Um estudante só deverá ser contabilizado numa única vez, mesmo que se apresente em mais que um momento de avaliação;</t>
  </si>
  <si>
    <r>
      <rPr>
        <sz val="10"/>
        <rFont val="Calibri (corpo)"/>
      </rPr>
      <t>(3)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S</t>
    </r>
    <r>
      <rPr>
        <vertAlign val="subscript"/>
        <sz val="10"/>
        <rFont val="Calibri (corpo)"/>
      </rPr>
      <t>(</t>
    </r>
    <r>
      <rPr>
        <i/>
        <vertAlign val="subscript"/>
        <sz val="10"/>
        <rFont val="Calibri (corpo)"/>
      </rPr>
      <t>i…n</t>
    </r>
    <r>
      <rPr>
        <vertAlign val="subscript"/>
        <sz val="10"/>
        <rFont val="Calibri (corpo)"/>
      </rPr>
      <t>)</t>
    </r>
    <r>
      <rPr>
        <i/>
        <sz val="10"/>
        <rFont val="Calibri (corpo)"/>
      </rPr>
      <t>C</t>
    </r>
    <r>
      <rPr>
        <i/>
        <vertAlign val="subscript"/>
        <sz val="10"/>
        <rFont val="Calibri (corpo)"/>
      </rPr>
      <t>i</t>
    </r>
    <r>
      <rPr>
        <sz val="10"/>
        <rFont val="Calibri (corpo)"/>
      </rPr>
      <t>/</t>
    </r>
    <r>
      <rPr>
        <i/>
        <sz val="10"/>
        <rFont val="Calibri (corpo)"/>
      </rPr>
      <t>n</t>
    </r>
  </si>
  <si>
    <r>
      <t>(C</t>
    </r>
    <r>
      <rPr>
        <vertAlign val="subscript"/>
        <sz val="10"/>
        <rFont val="Calibri"/>
        <family val="2"/>
      </rPr>
      <t>i</t>
    </r>
    <r>
      <rPr>
        <sz val="10"/>
        <rFont val="Calibri"/>
        <family val="2"/>
      </rPr>
      <t xml:space="preserve"> - Classificação final por estudante; n - número de estudantes aprovados).</t>
    </r>
  </si>
  <si>
    <t>____/____/______</t>
  </si>
  <si>
    <t>RELATÓRIO DE UNIDADE CURRICULAR</t>
  </si>
  <si>
    <t>Ano letivo: ____/ ____</t>
  </si>
  <si>
    <t xml:space="preserve">4 - Comentários, críticas e conclusões </t>
  </si>
  <si>
    <t>3 - Análise estatística</t>
  </si>
  <si>
    <t>Exame da época especial estudantes estatuto trab.-estudante</t>
  </si>
  <si>
    <t>1 - Pessoal docente</t>
  </si>
  <si>
    <t>Ciclo(s) de Estudos</t>
  </si>
  <si>
    <t>T - Teórica; TP - Teórico-prática; PL - Prático-laboratorial; TC - Trabalho de campo; S - Seminário; OT - Orientação Tutorial; O - Outra.</t>
  </si>
  <si>
    <t>v.s.f.f.</t>
  </si>
  <si>
    <r>
      <t>A - Estudantes INSCRITOS na UC</t>
    </r>
    <r>
      <rPr>
        <sz val="11"/>
        <rFont val="Calibri"/>
        <family val="2"/>
      </rPr>
      <t xml:space="preserve"> (ver Pauta Serviços Académicos).</t>
    </r>
  </si>
  <si>
    <r>
      <t xml:space="preserve">B - Estudantes AVALIADOS </t>
    </r>
    <r>
      <rPr>
        <sz val="11"/>
        <rFont val="Calibri"/>
        <family val="2"/>
      </rPr>
      <t xml:space="preserve">(em pelo menos um dos momentos de avaliação) </t>
    </r>
    <r>
      <rPr>
        <sz val="8"/>
        <rFont val="Calibri"/>
        <family val="2"/>
      </rPr>
      <t>(1)(2)</t>
    </r>
  </si>
  <si>
    <r>
      <t>F - MÉDIA GLOBAL DA UC</t>
    </r>
    <r>
      <rPr>
        <sz val="11"/>
        <rFont val="Calibri"/>
        <family val="2"/>
      </rPr>
      <t xml:space="preserve"> (com duas casas decimais) </t>
    </r>
    <r>
      <rPr>
        <sz val="8"/>
        <rFont val="Calibri"/>
        <family val="2"/>
      </rPr>
      <t>(3)</t>
    </r>
  </si>
  <si>
    <t>O Docente responsável da UC</t>
  </si>
  <si>
    <t>Observações</t>
  </si>
  <si>
    <t>Exame da época extraordinária</t>
  </si>
  <si>
    <t xml:space="preserve">    C3 - em avaliação final: época extraordinária;</t>
  </si>
  <si>
    <r>
      <t xml:space="preserve">(O relatório deve ser efetuado, após a realização do </t>
    </r>
    <r>
      <rPr>
        <b/>
        <u/>
        <sz val="10"/>
        <rFont val="Calibri"/>
        <family val="2"/>
      </rPr>
      <t>exame da</t>
    </r>
    <r>
      <rPr>
        <u/>
        <sz val="10"/>
        <rFont val="Calibri"/>
        <family val="2"/>
      </rPr>
      <t xml:space="preserve"> </t>
    </r>
    <r>
      <rPr>
        <b/>
        <u/>
        <sz val="10"/>
        <rFont val="Calibri"/>
        <family val="2"/>
      </rPr>
      <t>época extraordinária</t>
    </r>
    <r>
      <rPr>
        <sz val="10"/>
        <rFont val="Calibri"/>
        <family val="2"/>
      </rPr>
      <t>, pelo docente responsável da UC)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</si>
</sst>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9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Calibri (corpo)"/>
    </font>
    <font>
      <sz val="10"/>
      <name val="Arial"/>
      <family val="2"/>
    </font>
    <font>
      <sz val="9"/>
      <name val="Aptos Narrow"/>
      <family val="2"/>
      <scheme val="minor"/>
    </font>
    <font>
      <sz val="11"/>
      <name val="Calibri (corpo)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sz val="12"/>
      <name val="Aptos Narrow"/>
      <family val="2"/>
      <scheme val="minor"/>
    </font>
    <font>
      <sz val="8"/>
      <color rgb="FF000000"/>
      <name val="Tahoma"/>
      <family val="2"/>
    </font>
    <font>
      <b/>
      <sz val="11"/>
      <name val="Aptos Narrow"/>
      <family val="2"/>
      <scheme val="minor"/>
    </font>
    <font>
      <sz val="10"/>
      <name val="Symbol"/>
      <family val="1"/>
      <charset val="2"/>
    </font>
    <font>
      <vertAlign val="subscript"/>
      <sz val="10"/>
      <name val="Calibri (corpo)"/>
    </font>
    <font>
      <i/>
      <vertAlign val="subscript"/>
      <sz val="10"/>
      <name val="Calibri (corpo)"/>
    </font>
    <font>
      <i/>
      <sz val="10"/>
      <name val="Calibri (corpo)"/>
    </font>
    <font>
      <sz val="10"/>
      <name val="Calibri"/>
      <family val="2"/>
    </font>
    <font>
      <vertAlign val="subscript"/>
      <sz val="10"/>
      <name val="Calibri"/>
      <family val="2"/>
    </font>
    <font>
      <sz val="8"/>
      <name val="Arial"/>
      <family val="2"/>
    </font>
    <font>
      <b/>
      <sz val="14"/>
      <name val="Calibri (corpo)"/>
    </font>
    <font>
      <i/>
      <sz val="16"/>
      <name val="Arial Greek"/>
      <family val="2"/>
      <charset val="161"/>
    </font>
    <font>
      <b/>
      <sz val="12"/>
      <color theme="0"/>
      <name val="Arial"/>
      <family val="2"/>
    </font>
    <font>
      <b/>
      <sz val="12"/>
      <color theme="0"/>
      <name val="Calibri (corpo)"/>
    </font>
    <font>
      <sz val="12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b/>
      <u/>
      <sz val="10"/>
      <name val="Calibri"/>
      <family val="2"/>
    </font>
    <font>
      <u/>
      <sz val="10"/>
      <name val="Calibri"/>
      <family val="2"/>
    </font>
    <font>
      <i/>
      <sz val="10"/>
      <color theme="1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7" fillId="3" borderId="0" xfId="0" applyFont="1" applyFill="1"/>
    <xf numFmtId="0" fontId="0" fillId="3" borderId="0" xfId="0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7" fillId="3" borderId="0" xfId="0" applyFont="1" applyFill="1" applyAlignment="1">
      <alignment horizontal="justify" vertical="top"/>
    </xf>
    <xf numFmtId="0" fontId="19" fillId="3" borderId="0" xfId="0" applyFont="1" applyFill="1"/>
    <xf numFmtId="0" fontId="10" fillId="3" borderId="0" xfId="0" applyFont="1" applyFill="1" applyAlignment="1">
      <alignment horizontal="center"/>
    </xf>
    <xf numFmtId="0" fontId="0" fillId="3" borderId="0" xfId="0" applyFill="1" applyAlignment="1">
      <alignment horizontal="left" vertical="top" wrapText="1"/>
    </xf>
    <xf numFmtId="0" fontId="17" fillId="2" borderId="4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left" vertical="center" wrapText="1"/>
    </xf>
    <xf numFmtId="0" fontId="17" fillId="3" borderId="0" xfId="0" applyFont="1" applyFill="1"/>
    <xf numFmtId="0" fontId="7" fillId="3" borderId="0" xfId="0" applyFont="1" applyFill="1" applyAlignment="1" applyProtection="1">
      <alignment horizontal="left" vertical="top" wrapText="1"/>
      <protection locked="0"/>
    </xf>
    <xf numFmtId="0" fontId="7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21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left" vertical="center"/>
    </xf>
    <xf numFmtId="164" fontId="10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 vertical="center" wrapText="1"/>
    </xf>
    <xf numFmtId="0" fontId="2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2" fillId="3" borderId="0" xfId="0" applyFont="1" applyFill="1" applyAlignment="1">
      <alignment horizontal="left" vertical="center" wrapText="1"/>
    </xf>
    <xf numFmtId="0" fontId="30" fillId="0" borderId="0" xfId="0" applyFont="1"/>
    <xf numFmtId="0" fontId="7" fillId="3" borderId="9" xfId="0" applyFont="1" applyFill="1" applyBorder="1" applyAlignment="1" applyProtection="1">
      <alignment horizontal="left" vertical="top" wrapText="1"/>
      <protection locked="0"/>
    </xf>
    <xf numFmtId="0" fontId="7" fillId="3" borderId="10" xfId="0" applyFont="1" applyFill="1" applyBorder="1" applyAlignment="1" applyProtection="1">
      <alignment horizontal="left" vertical="top" wrapText="1"/>
      <protection locked="0"/>
    </xf>
    <xf numFmtId="0" fontId="7" fillId="3" borderId="11" xfId="0" applyFont="1" applyFill="1" applyBorder="1" applyAlignment="1" applyProtection="1">
      <alignment horizontal="left" vertical="top" wrapText="1"/>
      <protection locked="0"/>
    </xf>
    <xf numFmtId="0" fontId="0" fillId="3" borderId="43" xfId="0" applyFill="1" applyBorder="1" applyAlignment="1">
      <alignment horizontal="left" vertical="top" wrapText="1"/>
    </xf>
    <xf numFmtId="0" fontId="0" fillId="3" borderId="45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17" fillId="0" borderId="0" xfId="0" applyFont="1"/>
    <xf numFmtId="0" fontId="25" fillId="3" borderId="23" xfId="0" applyFont="1" applyFill="1" applyBorder="1" applyAlignment="1" applyProtection="1">
      <alignment horizontal="center" vertical="center"/>
      <protection locked="0"/>
    </xf>
    <xf numFmtId="0" fontId="25" fillId="3" borderId="28" xfId="0" applyFont="1" applyFill="1" applyBorder="1" applyAlignment="1" applyProtection="1">
      <alignment horizontal="center" vertical="center"/>
      <protection locked="0"/>
    </xf>
    <xf numFmtId="0" fontId="25" fillId="3" borderId="49" xfId="0" applyFont="1" applyFill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25" xfId="0" applyFont="1" applyFill="1" applyBorder="1" applyAlignment="1" applyProtection="1">
      <alignment horizontal="center" vertical="center"/>
      <protection locked="0"/>
    </xf>
    <xf numFmtId="0" fontId="32" fillId="3" borderId="26" xfId="0" applyFont="1" applyFill="1" applyBorder="1" applyAlignment="1" applyProtection="1">
      <alignment horizontal="center" vertical="center"/>
      <protection locked="0"/>
    </xf>
    <xf numFmtId="1" fontId="32" fillId="3" borderId="32" xfId="0" applyNumberFormat="1" applyFont="1" applyFill="1" applyBorder="1" applyAlignment="1" applyProtection="1">
      <alignment horizontal="center" vertical="center"/>
      <protection locked="0"/>
    </xf>
    <xf numFmtId="0" fontId="17" fillId="3" borderId="29" xfId="0" applyFont="1" applyFill="1" applyBorder="1" applyAlignment="1" applyProtection="1">
      <alignment horizontal="center" vertical="center"/>
      <protection locked="0"/>
    </xf>
    <xf numFmtId="0" fontId="17" fillId="3" borderId="4" xfId="0" applyFont="1" applyFill="1" applyBorder="1" applyAlignment="1" applyProtection="1">
      <alignment horizontal="center" vertical="center"/>
      <protection locked="0"/>
    </xf>
    <xf numFmtId="0" fontId="32" fillId="3" borderId="4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 applyProtection="1">
      <alignment horizontal="center" vertical="center"/>
      <protection locked="0"/>
    </xf>
    <xf numFmtId="0" fontId="32" fillId="3" borderId="29" xfId="0" applyFont="1" applyFill="1" applyBorder="1" applyAlignment="1" applyProtection="1">
      <alignment horizontal="center" vertical="center"/>
      <protection locked="0"/>
    </xf>
    <xf numFmtId="164" fontId="32" fillId="3" borderId="2" xfId="0" applyNumberFormat="1" applyFont="1" applyFill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/>
      <protection locked="0"/>
    </xf>
    <xf numFmtId="0" fontId="17" fillId="3" borderId="40" xfId="0" applyFont="1" applyFill="1" applyBorder="1" applyAlignment="1" applyProtection="1">
      <alignment horizontal="center" vertical="center"/>
      <protection locked="0"/>
    </xf>
    <xf numFmtId="0" fontId="32" fillId="3" borderId="39" xfId="0" applyFont="1" applyFill="1" applyBorder="1" applyAlignment="1" applyProtection="1">
      <alignment horizontal="center" vertical="center"/>
      <protection locked="0"/>
    </xf>
    <xf numFmtId="1" fontId="32" fillId="3" borderId="41" xfId="0" applyNumberFormat="1" applyFont="1" applyFill="1" applyBorder="1" applyAlignment="1" applyProtection="1">
      <alignment horizontal="center" vertical="center"/>
      <protection locked="0"/>
    </xf>
    <xf numFmtId="0" fontId="33" fillId="3" borderId="9" xfId="0" applyFont="1" applyFill="1" applyBorder="1" applyAlignment="1" applyProtection="1">
      <alignment horizontal="center" vertical="center"/>
      <protection locked="0"/>
    </xf>
    <xf numFmtId="0" fontId="33" fillId="3" borderId="28" xfId="0" applyFont="1" applyFill="1" applyBorder="1" applyAlignment="1" applyProtection="1">
      <alignment horizontal="center" vertical="center"/>
      <protection locked="0"/>
    </xf>
    <xf numFmtId="0" fontId="25" fillId="3" borderId="43" xfId="0" applyFont="1" applyFill="1" applyBorder="1" applyAlignment="1" applyProtection="1">
      <alignment horizontal="center" vertical="center"/>
      <protection locked="0"/>
    </xf>
    <xf numFmtId="0" fontId="25" fillId="3" borderId="31" xfId="0" applyFont="1" applyFill="1" applyBorder="1" applyAlignment="1" applyProtection="1">
      <alignment horizontal="center" vertical="center"/>
      <protection locked="0"/>
    </xf>
    <xf numFmtId="164" fontId="33" fillId="3" borderId="31" xfId="0" applyNumberFormat="1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164" fontId="33" fillId="3" borderId="28" xfId="0" applyNumberFormat="1" applyFont="1" applyFill="1" applyBorder="1" applyAlignment="1">
      <alignment horizontal="center" vertical="center"/>
    </xf>
    <xf numFmtId="164" fontId="33" fillId="3" borderId="44" xfId="0" applyNumberFormat="1" applyFont="1" applyFill="1" applyBorder="1" applyAlignment="1">
      <alignment horizontal="center" vertical="center"/>
    </xf>
    <xf numFmtId="0" fontId="17" fillId="3" borderId="43" xfId="0" applyFont="1" applyFill="1" applyBorder="1" applyAlignment="1">
      <alignment horizontal="center" vertical="center"/>
    </xf>
    <xf numFmtId="164" fontId="33" fillId="3" borderId="43" xfId="0" applyNumberFormat="1" applyFont="1" applyFill="1" applyBorder="1" applyAlignment="1">
      <alignment horizontal="center" vertical="center"/>
    </xf>
    <xf numFmtId="0" fontId="17" fillId="3" borderId="44" xfId="0" applyFont="1" applyFill="1" applyBorder="1" applyAlignment="1">
      <alignment horizontal="center" vertical="center"/>
    </xf>
    <xf numFmtId="164" fontId="25" fillId="3" borderId="31" xfId="0" applyNumberFormat="1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164" fontId="25" fillId="3" borderId="28" xfId="0" applyNumberFormat="1" applyFont="1" applyFill="1" applyBorder="1" applyAlignment="1">
      <alignment horizontal="center" vertical="center"/>
    </xf>
    <xf numFmtId="164" fontId="25" fillId="3" borderId="44" xfId="0" applyNumberFormat="1" applyFont="1" applyFill="1" applyBorder="1" applyAlignment="1">
      <alignment horizontal="center" vertical="center"/>
    </xf>
    <xf numFmtId="164" fontId="25" fillId="3" borderId="43" xfId="0" applyNumberFormat="1" applyFont="1" applyFill="1" applyBorder="1" applyAlignment="1">
      <alignment horizontal="center" vertical="center"/>
    </xf>
    <xf numFmtId="164" fontId="33" fillId="3" borderId="9" xfId="0" applyNumberFormat="1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32" fillId="3" borderId="36" xfId="0" applyFont="1" applyFill="1" applyBorder="1" applyAlignment="1">
      <alignment horizontal="center" vertical="center"/>
    </xf>
    <xf numFmtId="0" fontId="32" fillId="3" borderId="46" xfId="0" applyFont="1" applyFill="1" applyBorder="1" applyAlignment="1">
      <alignment horizontal="center" vertical="center"/>
    </xf>
    <xf numFmtId="0" fontId="32" fillId="3" borderId="47" xfId="0" applyFont="1" applyFill="1" applyBorder="1" applyAlignment="1" applyProtection="1">
      <alignment horizontal="center" vertical="center"/>
      <protection locked="0"/>
    </xf>
    <xf numFmtId="0" fontId="32" fillId="3" borderId="31" xfId="0" applyFont="1" applyFill="1" applyBorder="1" applyAlignment="1">
      <alignment horizontal="center" vertical="center"/>
    </xf>
    <xf numFmtId="0" fontId="32" fillId="3" borderId="30" xfId="0" applyFont="1" applyFill="1" applyBorder="1" applyAlignment="1" applyProtection="1">
      <alignment horizontal="center" vertical="center"/>
      <protection locked="0"/>
    </xf>
    <xf numFmtId="0" fontId="32" fillId="3" borderId="45" xfId="0" applyFont="1" applyFill="1" applyBorder="1" applyAlignment="1" applyProtection="1">
      <alignment horizontal="center" vertical="center"/>
      <protection locked="0"/>
    </xf>
    <xf numFmtId="0" fontId="32" fillId="3" borderId="48" xfId="0" applyFont="1" applyFill="1" applyBorder="1" applyAlignment="1">
      <alignment horizontal="center" vertical="center"/>
    </xf>
    <xf numFmtId="0" fontId="32" fillId="3" borderId="42" xfId="0" applyFont="1" applyFill="1" applyBorder="1" applyAlignment="1" applyProtection="1">
      <alignment horizontal="center" vertical="center"/>
      <protection locked="0"/>
    </xf>
    <xf numFmtId="0" fontId="31" fillId="3" borderId="36" xfId="0" applyFont="1" applyFill="1" applyBorder="1" applyAlignment="1">
      <alignment horizontal="center" vertical="center"/>
    </xf>
    <xf numFmtId="0" fontId="0" fillId="6" borderId="0" xfId="0" applyFill="1"/>
    <xf numFmtId="0" fontId="21" fillId="6" borderId="0" xfId="0" applyFont="1" applyFill="1" applyAlignment="1">
      <alignment horizontal="center"/>
    </xf>
    <xf numFmtId="0" fontId="31" fillId="7" borderId="0" xfId="0" applyFont="1" applyFill="1"/>
    <xf numFmtId="0" fontId="17" fillId="2" borderId="1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7" fillId="2" borderId="37" xfId="0" applyFont="1" applyFill="1" applyBorder="1" applyAlignment="1">
      <alignment horizontal="center" vertical="center" wrapText="1"/>
    </xf>
    <xf numFmtId="0" fontId="27" fillId="2" borderId="25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0" fillId="0" borderId="0" xfId="0"/>
    <xf numFmtId="0" fontId="0" fillId="3" borderId="42" xfId="0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left" vertical="center" wrapText="1"/>
    </xf>
    <xf numFmtId="0" fontId="25" fillId="2" borderId="14" xfId="0" applyFont="1" applyFill="1" applyBorder="1" applyAlignment="1">
      <alignment horizontal="left" vertical="center" wrapText="1"/>
    </xf>
    <xf numFmtId="0" fontId="25" fillId="2" borderId="26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35" fillId="2" borderId="43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35" fillId="2" borderId="16" xfId="0" applyFont="1" applyFill="1" applyBorder="1" applyAlignment="1">
      <alignment vertical="center" wrapText="1"/>
    </xf>
    <xf numFmtId="0" fontId="35" fillId="2" borderId="8" xfId="0" applyFont="1" applyFill="1" applyBorder="1" applyAlignment="1">
      <alignment vertical="center" wrapText="1"/>
    </xf>
    <xf numFmtId="0" fontId="25" fillId="3" borderId="28" xfId="0" applyFont="1" applyFill="1" applyBorder="1" applyAlignment="1" applyProtection="1">
      <alignment horizontal="left" vertical="center"/>
      <protection locked="0"/>
    </xf>
    <xf numFmtId="0" fontId="25" fillId="3" borderId="2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0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1" fillId="4" borderId="8" xfId="0" applyFont="1" applyFill="1" applyBorder="1" applyAlignment="1">
      <alignment horizontal="left" vertical="center"/>
    </xf>
    <xf numFmtId="0" fontId="22" fillId="4" borderId="8" xfId="0" applyFont="1" applyFill="1" applyBorder="1" applyAlignment="1">
      <alignment horizontal="left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7" fillId="2" borderId="13" xfId="0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/>
    </xf>
    <xf numFmtId="0" fontId="17" fillId="3" borderId="28" xfId="0" applyFont="1" applyFill="1" applyBorder="1" applyAlignment="1" applyProtection="1">
      <alignment horizontal="left" vertical="center" wrapText="1"/>
      <protection locked="0"/>
    </xf>
    <xf numFmtId="0" fontId="1" fillId="4" borderId="8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17" fillId="3" borderId="49" xfId="0" applyFont="1" applyFill="1" applyBorder="1" applyAlignment="1" applyProtection="1">
      <alignment horizontal="left" vertical="center" wrapText="1"/>
      <protection locked="0"/>
    </xf>
    <xf numFmtId="0" fontId="33" fillId="3" borderId="13" xfId="0" applyFont="1" applyFill="1" applyBorder="1" applyAlignment="1">
      <alignment horizontal="left" vertical="center"/>
    </xf>
    <xf numFmtId="0" fontId="25" fillId="3" borderId="14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left" vertical="center" wrapText="1"/>
    </xf>
    <xf numFmtId="0" fontId="24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7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7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5" fillId="3" borderId="28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33" fillId="3" borderId="49" xfId="0" applyFont="1" applyFill="1" applyBorder="1" applyAlignment="1">
      <alignment horizontal="left" vertical="center" wrapText="1"/>
    </xf>
    <xf numFmtId="0" fontId="25" fillId="3" borderId="41" xfId="0" applyFont="1" applyFill="1" applyBorder="1" applyAlignment="1">
      <alignment horizontal="left" vertical="center" wrapText="1"/>
    </xf>
    <xf numFmtId="0" fontId="33" fillId="3" borderId="28" xfId="0" applyFont="1" applyFill="1" applyBorder="1" applyAlignment="1">
      <alignment horizontal="left" vertical="center" wrapText="1"/>
    </xf>
    <xf numFmtId="0" fontId="33" fillId="3" borderId="2" xfId="0" applyFont="1" applyFill="1" applyBorder="1" applyAlignment="1">
      <alignment horizontal="left" vertical="center" wrapText="1"/>
    </xf>
    <xf numFmtId="0" fontId="33" fillId="2" borderId="9" xfId="0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left" vertical="center"/>
    </xf>
    <xf numFmtId="0" fontId="33" fillId="2" borderId="43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2" fontId="12" fillId="3" borderId="49" xfId="0" applyNumberFormat="1" applyFont="1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25" fillId="2" borderId="33" xfId="0" applyFont="1" applyFill="1" applyBorder="1" applyAlignment="1">
      <alignment horizontal="center" vertical="center" wrapText="1"/>
    </xf>
    <xf numFmtId="0" fontId="24" fillId="2" borderId="34" xfId="0" applyFont="1" applyFill="1" applyBorder="1" applyAlignment="1">
      <alignment horizontal="center" vertical="center" wrapText="1"/>
    </xf>
    <xf numFmtId="0" fontId="24" fillId="2" borderId="35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 applyProtection="1">
      <alignment horizontal="left" vertical="center" wrapText="1"/>
      <protection locked="0"/>
    </xf>
    <xf numFmtId="0" fontId="26" fillId="3" borderId="14" xfId="0" applyFont="1" applyFill="1" applyBorder="1" applyAlignment="1">
      <alignment horizontal="left" vertical="center" wrapText="1"/>
    </xf>
    <xf numFmtId="0" fontId="17" fillId="2" borderId="33" xfId="0" applyFont="1" applyFill="1" applyBorder="1" applyAlignment="1">
      <alignment horizontal="center" vertical="center" wrapText="1"/>
    </xf>
    <xf numFmtId="1" fontId="17" fillId="3" borderId="32" xfId="0" applyNumberFormat="1" applyFont="1" applyFill="1" applyBorder="1" applyAlignment="1" applyProtection="1">
      <alignment horizontal="center" vertical="center" wrapText="1"/>
      <protection locked="0"/>
    </xf>
    <xf numFmtId="1" fontId="1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5" borderId="13" xfId="0" applyFont="1" applyFill="1" applyBorder="1"/>
    <xf numFmtId="0" fontId="0" fillId="0" borderId="15" xfId="0" applyBorder="1"/>
    <xf numFmtId="0" fontId="8" fillId="5" borderId="28" xfId="0" applyFont="1" applyFill="1" applyBorder="1" applyAlignment="1">
      <alignment horizontal="center"/>
    </xf>
    <xf numFmtId="0" fontId="0" fillId="5" borderId="2" xfId="0" applyFill="1" applyBorder="1"/>
    <xf numFmtId="0" fontId="0" fillId="5" borderId="30" xfId="0" applyFill="1" applyBorder="1"/>
    <xf numFmtId="164" fontId="12" fillId="5" borderId="28" xfId="0" applyNumberFormat="1" applyFont="1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4" fontId="8" fillId="5" borderId="28" xfId="0" applyNumberFormat="1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/>
    </xf>
    <xf numFmtId="0" fontId="25" fillId="2" borderId="44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33" fillId="2" borderId="13" xfId="0" applyFont="1" applyFill="1" applyBorder="1" applyAlignment="1">
      <alignment horizontal="left" vertical="center" wrapText="1"/>
    </xf>
    <xf numFmtId="0" fontId="33" fillId="2" borderId="14" xfId="0" applyFont="1" applyFill="1" applyBorder="1" applyAlignment="1">
      <alignment horizontal="left" vertical="center" wrapText="1"/>
    </xf>
    <xf numFmtId="0" fontId="27" fillId="2" borderId="37" xfId="0" applyFont="1" applyFill="1" applyBorder="1" applyAlignment="1">
      <alignment horizontal="center" vertical="center" wrapText="1"/>
    </xf>
    <xf numFmtId="0" fontId="27" fillId="2" borderId="2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20" fillId="3" borderId="0" xfId="0" applyFont="1" applyFill="1" applyAlignment="1">
      <alignment horizontal="center" vertical="center"/>
    </xf>
    <xf numFmtId="0" fontId="23" fillId="4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/>
    </xf>
    <xf numFmtId="0" fontId="26" fillId="3" borderId="14" xfId="0" applyFont="1" applyFill="1" applyBorder="1"/>
    <xf numFmtId="0" fontId="25" fillId="3" borderId="49" xfId="0" applyFont="1" applyFill="1" applyBorder="1" applyAlignment="1" applyProtection="1">
      <alignment horizontal="left" vertical="center"/>
      <protection locked="0"/>
    </xf>
    <xf numFmtId="0" fontId="25" fillId="3" borderId="41" xfId="0" applyFont="1" applyFill="1" applyBorder="1" applyAlignment="1" applyProtection="1">
      <alignment horizontal="left" vertical="center"/>
      <protection locked="0"/>
    </xf>
    <xf numFmtId="0" fontId="25" fillId="3" borderId="23" xfId="0" applyFont="1" applyFill="1" applyBorder="1" applyAlignment="1" applyProtection="1">
      <alignment horizontal="left" vertical="center"/>
      <protection locked="0"/>
    </xf>
    <xf numFmtId="0" fontId="25" fillId="3" borderId="6" xfId="0" applyFont="1" applyFill="1" applyBorder="1" applyAlignment="1" applyProtection="1">
      <alignment horizontal="left" vertical="center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center" vertical="center" wrapText="1"/>
      <protection locked="0"/>
    </xf>
    <xf numFmtId="0" fontId="6" fillId="3" borderId="49" xfId="0" applyFont="1" applyFill="1" applyBorder="1" applyAlignment="1" applyProtection="1">
      <alignment horizontal="left" vertical="center" wrapText="1"/>
      <protection locked="0"/>
    </xf>
    <xf numFmtId="0" fontId="0" fillId="3" borderId="41" xfId="0" applyFill="1" applyBorder="1" applyAlignment="1" applyProtection="1">
      <alignment horizontal="left" vertical="center" wrapText="1"/>
      <protection locked="0"/>
    </xf>
    <xf numFmtId="0" fontId="0" fillId="3" borderId="19" xfId="0" applyFill="1" applyBorder="1" applyAlignment="1" applyProtection="1">
      <alignment horizontal="left" vertical="center" wrapText="1"/>
      <protection locked="0"/>
    </xf>
    <xf numFmtId="0" fontId="5" fillId="3" borderId="40" xfId="0" applyFont="1" applyFill="1" applyBorder="1" applyAlignment="1" applyProtection="1">
      <alignment horizontal="center" vertical="center" wrapText="1"/>
      <protection locked="0"/>
    </xf>
    <xf numFmtId="0" fontId="5" fillId="3" borderId="42" xfId="0" applyFont="1" applyFill="1" applyBorder="1" applyAlignment="1" applyProtection="1">
      <alignment horizontal="center" vertical="center" wrapText="1"/>
      <protection locked="0"/>
    </xf>
    <xf numFmtId="0" fontId="0" fillId="3" borderId="40" xfId="0" applyFill="1" applyBorder="1" applyAlignment="1" applyProtection="1">
      <alignment horizontal="center" vertical="center" wrapText="1"/>
      <protection locked="0"/>
    </xf>
    <xf numFmtId="0" fontId="0" fillId="3" borderId="42" xfId="0" applyFill="1" applyBorder="1" applyAlignment="1" applyProtection="1">
      <alignment horizontal="center" vertical="center" wrapText="1"/>
      <protection locked="0"/>
    </xf>
    <xf numFmtId="0" fontId="6" fillId="3" borderId="28" xfId="0" applyFont="1" applyFill="1" applyBorder="1" applyAlignment="1" applyProtection="1">
      <alignment horizontal="left" vertical="center" wrapText="1"/>
      <protection locked="0"/>
    </xf>
    <xf numFmtId="0" fontId="0" fillId="3" borderId="2" xfId="0" applyFill="1" applyBorder="1" applyAlignment="1" applyProtection="1">
      <alignment horizontal="left" vertical="center" wrapText="1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0" fontId="0" fillId="3" borderId="4" xfId="0" applyFill="1" applyBorder="1" applyAlignment="1" applyProtection="1">
      <alignment horizontal="left" vertical="center" wrapText="1"/>
      <protection locked="0"/>
    </xf>
    <xf numFmtId="0" fontId="0" fillId="3" borderId="4" xfId="0" applyFill="1" applyBorder="1" applyAlignment="1" applyProtection="1">
      <alignment vertical="center" wrapText="1"/>
      <protection locked="0"/>
    </xf>
    <xf numFmtId="0" fontId="0" fillId="3" borderId="38" xfId="0" applyFill="1" applyBorder="1" applyAlignment="1" applyProtection="1">
      <alignment vertical="center" wrapText="1"/>
      <protection locked="0"/>
    </xf>
    <xf numFmtId="0" fontId="34" fillId="3" borderId="20" xfId="0" applyFont="1" applyFill="1" applyBorder="1" applyAlignment="1" applyProtection="1">
      <alignment horizontal="left" vertical="center" wrapText="1"/>
      <protection locked="0"/>
    </xf>
    <xf numFmtId="0" fontId="34" fillId="3" borderId="52" xfId="0" applyFont="1" applyFill="1" applyBorder="1" applyAlignment="1" applyProtection="1">
      <alignment vertical="center" wrapText="1"/>
      <protection locked="0"/>
    </xf>
    <xf numFmtId="0" fontId="34" fillId="3" borderId="21" xfId="0" applyFont="1" applyFill="1" applyBorder="1" applyAlignment="1" applyProtection="1">
      <alignment vertical="center" wrapText="1"/>
      <protection locked="0"/>
    </xf>
    <xf numFmtId="164" fontId="32" fillId="3" borderId="27" xfId="0" applyNumberFormat="1" applyFont="1" applyFill="1" applyBorder="1" applyAlignment="1" applyProtection="1">
      <alignment horizontal="center"/>
      <protection locked="0"/>
    </xf>
    <xf numFmtId="164" fontId="32" fillId="3" borderId="31" xfId="0" applyNumberFormat="1" applyFont="1" applyFill="1" applyBorder="1" applyAlignment="1" applyProtection="1">
      <alignment horizontal="center"/>
      <protection locked="0"/>
    </xf>
    <xf numFmtId="164" fontId="32" fillId="3" borderId="48" xfId="0" applyNumberFormat="1" applyFont="1" applyFill="1" applyBorder="1" applyAlignment="1" applyProtection="1">
      <alignment horizontal="center"/>
      <protection locked="0"/>
    </xf>
    <xf numFmtId="0" fontId="26" fillId="3" borderId="2" xfId="0" applyFont="1" applyFill="1" applyBorder="1" applyAlignment="1" applyProtection="1">
      <alignment horizontal="left" vertical="center" wrapText="1"/>
      <protection locked="0"/>
    </xf>
    <xf numFmtId="0" fontId="26" fillId="3" borderId="2" xfId="0" applyFont="1" applyFill="1" applyBorder="1" applyProtection="1">
      <protection locked="0"/>
    </xf>
    <xf numFmtId="0" fontId="17" fillId="3" borderId="1" xfId="0" applyFont="1" applyFill="1" applyBorder="1" applyAlignment="1" applyProtection="1">
      <alignment horizontal="center" vertical="center" wrapText="1"/>
      <protection locked="0"/>
    </xf>
    <xf numFmtId="0" fontId="26" fillId="3" borderId="30" xfId="0" applyFont="1" applyFill="1" applyBorder="1" applyAlignment="1" applyProtection="1">
      <alignment horizontal="center" vertical="center" wrapText="1"/>
      <protection locked="0"/>
    </xf>
    <xf numFmtId="0" fontId="26" fillId="3" borderId="41" xfId="0" applyFont="1" applyFill="1" applyBorder="1" applyAlignment="1" applyProtection="1">
      <alignment horizontal="left" vertical="center" wrapText="1"/>
      <protection locked="0"/>
    </xf>
    <xf numFmtId="0" fontId="26" fillId="3" borderId="41" xfId="0" applyFont="1" applyFill="1" applyBorder="1" applyProtection="1"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26" fillId="3" borderId="42" xfId="0" applyFont="1" applyFill="1" applyBorder="1" applyAlignment="1" applyProtection="1">
      <alignment horizontal="center" vertical="center" wrapText="1"/>
      <protection locked="0"/>
    </xf>
    <xf numFmtId="0" fontId="17" fillId="3" borderId="13" xfId="0" applyFont="1" applyFill="1" applyBorder="1" applyAlignment="1" applyProtection="1">
      <alignment horizontal="left" vertical="center" wrapText="1"/>
    </xf>
    <xf numFmtId="0" fontId="26" fillId="3" borderId="14" xfId="0" applyFont="1" applyFill="1" applyBorder="1" applyAlignment="1" applyProtection="1">
      <alignment horizontal="left" vertical="center" wrapText="1"/>
    </xf>
    <xf numFmtId="0" fontId="26" fillId="3" borderId="26" xfId="0" applyFont="1" applyFill="1" applyBorder="1" applyAlignment="1" applyProtection="1">
      <alignment horizontal="left" vertical="center" wrapText="1"/>
    </xf>
    <xf numFmtId="0" fontId="17" fillId="3" borderId="28" xfId="0" applyFont="1" applyFill="1" applyBorder="1" applyAlignment="1" applyProtection="1">
      <alignment horizontal="left" vertical="center" wrapText="1"/>
    </xf>
    <xf numFmtId="0" fontId="26" fillId="3" borderId="2" xfId="0" applyFont="1" applyFill="1" applyBorder="1" applyAlignment="1" applyProtection="1">
      <alignment horizontal="left" vertical="center" wrapText="1"/>
    </xf>
    <xf numFmtId="0" fontId="26" fillId="3" borderId="3" xfId="0" applyFont="1" applyFill="1" applyBorder="1" applyAlignment="1" applyProtection="1">
      <alignment horizontal="left" vertical="center" wrapText="1"/>
    </xf>
    <xf numFmtId="0" fontId="26" fillId="3" borderId="15" xfId="0" applyFont="1" applyFill="1" applyBorder="1" applyAlignment="1" applyProtection="1">
      <alignment horizontal="center" vertical="center" wrapText="1"/>
      <protection locked="0"/>
    </xf>
    <xf numFmtId="0" fontId="7" fillId="3" borderId="50" xfId="0" applyFont="1" applyFill="1" applyBorder="1" applyAlignment="1" applyProtection="1">
      <alignment horizontal="left" vertical="center" wrapText="1"/>
    </xf>
    <xf numFmtId="0" fontId="0" fillId="3" borderId="5" xfId="0" applyFill="1" applyBorder="1" applyAlignment="1" applyProtection="1">
      <alignment horizontal="left" vertical="center" wrapText="1"/>
    </xf>
    <xf numFmtId="0" fontId="0" fillId="3" borderId="5" xfId="0" applyFill="1" applyBorder="1" applyAlignment="1" applyProtection="1">
      <alignment vertical="center" wrapText="1"/>
    </xf>
    <xf numFmtId="0" fontId="0" fillId="3" borderId="51" xfId="0" applyFill="1" applyBorder="1" applyAlignment="1" applyProtection="1">
      <alignment vertical="center" wrapText="1"/>
    </xf>
    <xf numFmtId="0" fontId="0" fillId="3" borderId="43" xfId="0" applyFill="1" applyBorder="1" applyAlignment="1" applyProtection="1">
      <alignment vertical="center" wrapText="1"/>
    </xf>
    <xf numFmtId="0" fontId="0" fillId="3" borderId="0" xfId="0" applyFill="1" applyAlignment="1" applyProtection="1">
      <alignment vertical="center" wrapText="1"/>
    </xf>
    <xf numFmtId="0" fontId="0" fillId="3" borderId="45" xfId="0" applyFill="1" applyBorder="1" applyAlignment="1" applyProtection="1">
      <alignment vertical="center" wrapText="1"/>
    </xf>
    <xf numFmtId="0" fontId="0" fillId="3" borderId="16" xfId="0" applyFill="1" applyBorder="1" applyAlignment="1" applyProtection="1">
      <alignment vertical="center" wrapText="1"/>
    </xf>
    <xf numFmtId="0" fontId="0" fillId="3" borderId="8" xfId="0" applyFill="1" applyBorder="1" applyAlignment="1" applyProtection="1">
      <alignment vertical="center" wrapText="1"/>
    </xf>
    <xf numFmtId="0" fontId="0" fillId="3" borderId="17" xfId="0" applyFill="1" applyBorder="1" applyAlignment="1" applyProtection="1">
      <alignment vertical="center" wrapText="1"/>
    </xf>
    <xf numFmtId="0" fontId="33" fillId="3" borderId="43" xfId="0" applyFont="1" applyFill="1" applyBorder="1" applyAlignment="1" applyProtection="1">
      <alignment horizontal="center" vertical="center"/>
      <protection locked="0"/>
    </xf>
    <xf numFmtId="1" fontId="25" fillId="3" borderId="28" xfId="0" applyNumberFormat="1" applyFont="1" applyFill="1" applyBorder="1" applyAlignment="1" applyProtection="1">
      <alignment horizontal="center" vertical="center"/>
      <protection locked="0"/>
    </xf>
    <xf numFmtId="1" fontId="25" fillId="3" borderId="43" xfId="0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7" fillId="3" borderId="0" xfId="0" applyFont="1" applyFill="1" applyProtection="1">
      <protection locked="0"/>
    </xf>
    <xf numFmtId="0" fontId="10" fillId="3" borderId="0" xfId="0" applyFont="1" applyFill="1" applyAlignment="1" applyProtection="1">
      <alignment horizontal="center"/>
      <protection locked="0"/>
    </xf>
    <xf numFmtId="0" fontId="33" fillId="3" borderId="35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70</xdr:row>
      <xdr:rowOff>30480</xdr:rowOff>
    </xdr:from>
    <xdr:to>
      <xdr:col>15</xdr:col>
      <xdr:colOff>723900</xdr:colOff>
      <xdr:row>98</xdr:row>
      <xdr:rowOff>3619500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C6866C1-42BB-5D4F-9E23-2D2C9B48CF54}"/>
            </a:ext>
          </a:extLst>
        </xdr:cNvPr>
        <xdr:cNvSpPr txBox="1"/>
      </xdr:nvSpPr>
      <xdr:spPr>
        <a:xfrm>
          <a:off x="511175" y="18547080"/>
          <a:ext cx="10461625" cy="892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0</xdr:col>
      <xdr:colOff>347980</xdr:colOff>
      <xdr:row>1</xdr:row>
      <xdr:rowOff>88900</xdr:rowOff>
    </xdr:from>
    <xdr:to>
      <xdr:col>5</xdr:col>
      <xdr:colOff>596900</xdr:colOff>
      <xdr:row>3</xdr:row>
      <xdr:rowOff>58420</xdr:rowOff>
    </xdr:to>
    <xdr:pic>
      <xdr:nvPicPr>
        <xdr:cNvPr id="3" name="Imagem 2" descr="Uma imagem com Tipo de letra, Gráficos, captura de ecrã, design gráfico&#10;&#10;Descrição gerada automaticamente">
          <a:extLst>
            <a:ext uri="{FF2B5EF4-FFF2-40B4-BE49-F238E27FC236}">
              <a16:creationId xmlns:a16="http://schemas.microsoft.com/office/drawing/2014/main" id="{CFF4ED4C-08A7-1C4F-BABE-45DD1F122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68"/>
        <a:stretch/>
      </xdr:blipFill>
      <xdr:spPr bwMode="auto">
        <a:xfrm>
          <a:off x="347980" y="698500"/>
          <a:ext cx="2471420" cy="5791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14</xdr:col>
      <xdr:colOff>819150</xdr:colOff>
      <xdr:row>1</xdr:row>
      <xdr:rowOff>209550</xdr:rowOff>
    </xdr:from>
    <xdr:to>
      <xdr:col>16</xdr:col>
      <xdr:colOff>9525</xdr:colOff>
      <xdr:row>3</xdr:row>
      <xdr:rowOff>19050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F4832C73-957B-4DFE-9DCE-B43ED82B26DA}"/>
            </a:ext>
          </a:extLst>
        </xdr:cNvPr>
        <xdr:cNvSpPr txBox="1">
          <a:spLocks noChangeArrowheads="1"/>
        </xdr:cNvSpPr>
      </xdr:nvSpPr>
      <xdr:spPr bwMode="auto">
        <a:xfrm>
          <a:off x="10125075" y="400050"/>
          <a:ext cx="904875" cy="4191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A5A5A5"/>
          </a:solidFill>
          <a:prstDash val="solid"/>
          <a:miter lim="800000"/>
          <a:headEnd/>
          <a:tailEnd/>
        </a:ln>
        <a:effectLst/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6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237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17-02-2025</a:t>
          </a:r>
          <a:endParaRPr lang="pt-PT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lnSpc>
              <a:spcPct val="106000"/>
            </a:lnSpc>
            <a:spcAft>
              <a:spcPts val="800"/>
            </a:spcAft>
          </a:pPr>
          <a:r>
            <a: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55E7-BFF0-6A4D-B326-04F9C7BE2111}">
  <dimension ref="A1:U112"/>
  <sheetViews>
    <sheetView tabSelected="1" workbookViewId="0">
      <selection activeCell="C70" sqref="C70:P70"/>
    </sheetView>
  </sheetViews>
  <sheetFormatPr defaultColWidth="11.5546875" defaultRowHeight="15"/>
  <cols>
    <col min="1" max="1" width="2.6640625" customWidth="1"/>
    <col min="2" max="2" width="3" customWidth="1"/>
    <col min="3" max="3" width="4.44140625" customWidth="1"/>
    <col min="4" max="4" width="6.33203125" customWidth="1"/>
    <col min="8" max="8" width="8.33203125" customWidth="1"/>
    <col min="9" max="9" width="7.6640625" customWidth="1"/>
    <col min="10" max="10" width="7.77734375" customWidth="1"/>
    <col min="11" max="11" width="8.109375" customWidth="1"/>
    <col min="12" max="12" width="8.33203125" customWidth="1"/>
    <col min="13" max="13" width="8.77734375" customWidth="1"/>
    <col min="14" max="14" width="8.44140625" customWidth="1"/>
    <col min="15" max="15" width="11" customWidth="1"/>
    <col min="16" max="16" width="9" customWidth="1"/>
    <col min="17" max="17" width="8.33203125" customWidth="1"/>
    <col min="18" max="18" width="6.44140625" customWidth="1"/>
    <col min="19" max="19" width="2.6640625" customWidth="1"/>
  </cols>
  <sheetData>
    <row r="1" spans="1:19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86"/>
    </row>
    <row r="2" spans="1:19" ht="24" customHeight="1">
      <c r="A2" s="16"/>
      <c r="B2" s="16"/>
      <c r="C2" s="17"/>
      <c r="D2" s="17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8"/>
      <c r="R2" s="18"/>
      <c r="S2" s="87"/>
    </row>
    <row r="3" spans="1:19" ht="24" customHeight="1">
      <c r="A3" s="183" t="s">
        <v>83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"/>
      <c r="R3" s="18"/>
      <c r="S3" s="87"/>
    </row>
    <row r="4" spans="1:19" ht="27" customHeight="1">
      <c r="A4" s="16"/>
      <c r="B4" s="16"/>
      <c r="C4" s="17"/>
      <c r="D4" s="197" t="s">
        <v>84</v>
      </c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6"/>
      <c r="Q4" s="18"/>
      <c r="R4" s="18"/>
      <c r="S4" s="87"/>
    </row>
    <row r="5" spans="1:19" ht="14.1" customHeight="1">
      <c r="A5" s="16"/>
      <c r="B5" s="16"/>
      <c r="C5" s="17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1"/>
      <c r="Q5" s="18"/>
      <c r="R5" s="18"/>
      <c r="S5" s="87"/>
    </row>
    <row r="6" spans="1:19" ht="20.25">
      <c r="A6" s="16"/>
      <c r="B6" s="16"/>
      <c r="C6" s="17"/>
      <c r="D6" s="142" t="s">
        <v>99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21"/>
      <c r="Q6" s="18"/>
      <c r="R6" s="18"/>
      <c r="S6" s="87"/>
    </row>
    <row r="7" spans="1:19" ht="6.95" customHeight="1" thickBot="1">
      <c r="A7" s="16"/>
      <c r="B7" s="16"/>
      <c r="C7" s="17"/>
      <c r="D7" s="17"/>
      <c r="E7" s="2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18"/>
      <c r="R7" s="18"/>
      <c r="S7" s="87"/>
    </row>
    <row r="8" spans="1:19" ht="17.100000000000001" hidden="1" customHeight="1" thickBo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86"/>
    </row>
    <row r="9" spans="1:19" ht="23.1" customHeight="1">
      <c r="A9" s="16"/>
      <c r="B9" s="16"/>
      <c r="C9" s="16"/>
      <c r="D9" s="194" t="s">
        <v>0</v>
      </c>
      <c r="E9" s="195"/>
      <c r="F9" s="195"/>
      <c r="G9" s="195"/>
      <c r="H9" s="195"/>
      <c r="I9" s="195"/>
      <c r="J9" s="195"/>
      <c r="K9" s="195"/>
      <c r="L9" s="195"/>
      <c r="M9" s="196"/>
      <c r="N9" s="176" t="s">
        <v>1</v>
      </c>
      <c r="O9" s="177"/>
      <c r="P9" s="16"/>
      <c r="Q9" s="16"/>
      <c r="R9" s="16"/>
      <c r="S9" s="86"/>
    </row>
    <row r="10" spans="1:19" ht="27" customHeight="1" thickBot="1">
      <c r="A10" s="16"/>
      <c r="B10" s="16"/>
      <c r="C10" s="16"/>
      <c r="D10" s="199"/>
      <c r="E10" s="200"/>
      <c r="F10" s="200"/>
      <c r="G10" s="200"/>
      <c r="H10" s="200"/>
      <c r="I10" s="200"/>
      <c r="J10" s="200"/>
      <c r="K10" s="200"/>
      <c r="L10" s="200"/>
      <c r="M10" s="201"/>
      <c r="N10" s="202"/>
      <c r="O10" s="203"/>
      <c r="P10" s="16"/>
      <c r="Q10" s="16"/>
      <c r="R10" s="16"/>
      <c r="S10" s="86"/>
    </row>
    <row r="11" spans="1:19" ht="15.95" customHeight="1" thickBot="1">
      <c r="A11" s="16"/>
      <c r="B11" s="16"/>
      <c r="C11" s="16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6"/>
      <c r="Q11" s="16"/>
      <c r="R11" s="16"/>
      <c r="S11" s="86"/>
    </row>
    <row r="12" spans="1:19" ht="21" customHeight="1">
      <c r="A12" s="16"/>
      <c r="B12" s="16"/>
      <c r="C12" s="16"/>
      <c r="D12" s="178" t="s">
        <v>2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80" t="s">
        <v>96</v>
      </c>
      <c r="O12" s="181"/>
      <c r="P12" s="16"/>
      <c r="Q12" s="16"/>
      <c r="R12" s="16"/>
      <c r="S12" s="86"/>
    </row>
    <row r="13" spans="1:19" ht="24.95" customHeight="1" thickBot="1">
      <c r="A13" s="16"/>
      <c r="B13" s="16"/>
      <c r="C13" s="16"/>
      <c r="D13" s="199"/>
      <c r="E13" s="200"/>
      <c r="F13" s="200"/>
      <c r="G13" s="200"/>
      <c r="H13" s="200"/>
      <c r="I13" s="200"/>
      <c r="J13" s="200"/>
      <c r="K13" s="200"/>
      <c r="L13" s="200"/>
      <c r="M13" s="200"/>
      <c r="N13" s="204"/>
      <c r="O13" s="205"/>
      <c r="P13" s="16"/>
      <c r="Q13" s="16"/>
      <c r="R13" s="16"/>
      <c r="S13" s="86"/>
    </row>
    <row r="14" spans="1:19" ht="15.95" customHeight="1" thickBot="1">
      <c r="A14" s="16"/>
      <c r="B14" s="16"/>
      <c r="C14" s="16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6"/>
      <c r="Q14" s="16"/>
      <c r="R14" s="16"/>
      <c r="S14" s="86"/>
    </row>
    <row r="15" spans="1:19" ht="21.95" customHeight="1">
      <c r="A15" s="16"/>
      <c r="B15" s="16"/>
      <c r="C15" s="16"/>
      <c r="D15" s="99" t="s">
        <v>89</v>
      </c>
      <c r="E15" s="100"/>
      <c r="F15" s="100"/>
      <c r="G15" s="100"/>
      <c r="H15" s="100"/>
      <c r="I15" s="100"/>
      <c r="J15" s="100"/>
      <c r="K15" s="101"/>
      <c r="L15" s="94" t="s">
        <v>3</v>
      </c>
      <c r="M15" s="94" t="s">
        <v>4</v>
      </c>
      <c r="N15" s="94" t="s">
        <v>5</v>
      </c>
      <c r="O15" s="95" t="s">
        <v>6</v>
      </c>
      <c r="P15" s="16"/>
      <c r="Q15" s="16"/>
      <c r="R15" s="16"/>
      <c r="S15" s="86"/>
    </row>
    <row r="16" spans="1:19" ht="26.1" customHeight="1">
      <c r="A16" s="16"/>
      <c r="B16" s="16"/>
      <c r="C16" s="16"/>
      <c r="D16" s="206"/>
      <c r="E16" s="207"/>
      <c r="F16" s="207"/>
      <c r="G16" s="207"/>
      <c r="H16" s="207"/>
      <c r="I16" s="207"/>
      <c r="J16" s="207"/>
      <c r="K16" s="208"/>
      <c r="L16" s="209"/>
      <c r="M16" s="209"/>
      <c r="N16" s="210"/>
      <c r="O16" s="211"/>
      <c r="P16" s="16"/>
      <c r="Q16" s="16"/>
      <c r="R16" s="16"/>
      <c r="S16" s="86"/>
    </row>
    <row r="17" spans="1:19" ht="15.95" customHeight="1">
      <c r="A17" s="16"/>
      <c r="B17" s="16"/>
      <c r="C17" s="16"/>
      <c r="D17" s="102" t="s">
        <v>7</v>
      </c>
      <c r="E17" s="103"/>
      <c r="F17" s="103"/>
      <c r="G17" s="110" t="s">
        <v>8</v>
      </c>
      <c r="H17" s="111"/>
      <c r="I17" s="111"/>
      <c r="J17" s="111"/>
      <c r="K17" s="111"/>
      <c r="L17" s="111"/>
      <c r="M17" s="111"/>
      <c r="N17" s="111"/>
      <c r="O17" s="112"/>
      <c r="P17" s="16"/>
      <c r="Q17" s="16"/>
      <c r="R17" s="16"/>
      <c r="S17" s="86"/>
    </row>
    <row r="18" spans="1:19" ht="15.95" customHeight="1">
      <c r="A18" s="16"/>
      <c r="B18" s="16"/>
      <c r="C18" s="16"/>
      <c r="D18" s="104"/>
      <c r="E18" s="105"/>
      <c r="F18" s="105"/>
      <c r="G18" s="10" t="s">
        <v>9</v>
      </c>
      <c r="H18" s="10" t="s">
        <v>10</v>
      </c>
      <c r="I18" s="10" t="s">
        <v>11</v>
      </c>
      <c r="J18" s="10" t="s">
        <v>12</v>
      </c>
      <c r="K18" s="10" t="s">
        <v>13</v>
      </c>
      <c r="L18" s="10" t="s">
        <v>14</v>
      </c>
      <c r="M18" s="10" t="s">
        <v>15</v>
      </c>
      <c r="N18" s="10" t="s">
        <v>16</v>
      </c>
      <c r="O18" s="11" t="s">
        <v>17</v>
      </c>
      <c r="P18" s="16"/>
      <c r="Q18" s="16"/>
      <c r="R18" s="16"/>
      <c r="S18" s="86"/>
    </row>
    <row r="19" spans="1:19" ht="24" customHeight="1" thickBot="1">
      <c r="A19" s="16"/>
      <c r="B19" s="16"/>
      <c r="C19" s="16"/>
      <c r="D19" s="106"/>
      <c r="E19" s="107"/>
      <c r="F19" s="107"/>
      <c r="G19" s="212"/>
      <c r="H19" s="212"/>
      <c r="I19" s="212"/>
      <c r="J19" s="212"/>
      <c r="K19" s="212"/>
      <c r="L19" s="212"/>
      <c r="M19" s="212"/>
      <c r="N19" s="213"/>
      <c r="O19" s="214"/>
      <c r="P19" s="16"/>
      <c r="Q19" s="16"/>
      <c r="R19" s="16"/>
      <c r="S19" s="86"/>
    </row>
    <row r="20" spans="1:19" ht="8.1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86"/>
    </row>
    <row r="21" spans="1:19" ht="15.95" customHeight="1">
      <c r="A21" s="16"/>
      <c r="B21" s="16"/>
      <c r="C21" s="16"/>
      <c r="D21" s="113" t="s">
        <v>90</v>
      </c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6"/>
      <c r="Q21" s="16"/>
      <c r="R21" s="16"/>
      <c r="S21" s="86"/>
    </row>
    <row r="22" spans="1:19" ht="17.100000000000001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86"/>
    </row>
    <row r="23" spans="1:19" ht="21" customHeight="1" thickBot="1">
      <c r="A23" s="16"/>
      <c r="B23" s="114" t="s">
        <v>88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24"/>
      <c r="S23" s="86"/>
    </row>
    <row r="24" spans="1:19">
      <c r="A24" s="16"/>
      <c r="B24" s="116" t="s">
        <v>18</v>
      </c>
      <c r="C24" s="117"/>
      <c r="D24" s="117"/>
      <c r="E24" s="117"/>
      <c r="F24" s="118"/>
      <c r="G24" s="122" t="s">
        <v>19</v>
      </c>
      <c r="H24" s="124" t="s">
        <v>20</v>
      </c>
      <c r="I24" s="124"/>
      <c r="J24" s="124"/>
      <c r="K24" s="124"/>
      <c r="L24" s="124"/>
      <c r="M24" s="124"/>
      <c r="N24" s="125"/>
      <c r="O24" s="126" t="s">
        <v>21</v>
      </c>
      <c r="P24" s="127"/>
      <c r="Q24" s="122" t="s">
        <v>22</v>
      </c>
      <c r="R24" s="22"/>
      <c r="S24" s="86"/>
    </row>
    <row r="25" spans="1:19" ht="15.95" customHeight="1" thickBot="1">
      <c r="A25" s="16"/>
      <c r="B25" s="119"/>
      <c r="C25" s="120"/>
      <c r="D25" s="120"/>
      <c r="E25" s="120"/>
      <c r="F25" s="121"/>
      <c r="G25" s="123"/>
      <c r="H25" s="89" t="s">
        <v>9</v>
      </c>
      <c r="I25" s="90" t="s">
        <v>10</v>
      </c>
      <c r="J25" s="90" t="s">
        <v>11</v>
      </c>
      <c r="K25" s="90" t="s">
        <v>12</v>
      </c>
      <c r="L25" s="90" t="s">
        <v>13</v>
      </c>
      <c r="M25" s="90" t="s">
        <v>14</v>
      </c>
      <c r="N25" s="91" t="s">
        <v>15</v>
      </c>
      <c r="O25" s="92" t="s">
        <v>23</v>
      </c>
      <c r="P25" s="93" t="s">
        <v>24</v>
      </c>
      <c r="Q25" s="123"/>
      <c r="R25" s="22"/>
      <c r="S25" s="86"/>
    </row>
    <row r="26" spans="1:19" ht="24" customHeight="1">
      <c r="A26" s="16"/>
      <c r="B26" s="192"/>
      <c r="C26" s="193"/>
      <c r="D26" s="193"/>
      <c r="E26" s="193"/>
      <c r="F26" s="193"/>
      <c r="G26" s="40"/>
      <c r="H26" s="43"/>
      <c r="I26" s="44"/>
      <c r="J26" s="44"/>
      <c r="K26" s="44"/>
      <c r="L26" s="44"/>
      <c r="M26" s="44"/>
      <c r="N26" s="45"/>
      <c r="O26" s="46"/>
      <c r="P26" s="47"/>
      <c r="Q26" s="215" t="str">
        <f>IF(O26&lt;&gt;"",(P26/O26)*100,"---------")</f>
        <v>---------</v>
      </c>
      <c r="R26" s="25"/>
      <c r="S26" s="86"/>
    </row>
    <row r="27" spans="1:19" ht="24" customHeight="1">
      <c r="A27" s="16"/>
      <c r="B27" s="108"/>
      <c r="C27" s="109"/>
      <c r="D27" s="109"/>
      <c r="E27" s="109"/>
      <c r="F27" s="109"/>
      <c r="G27" s="41"/>
      <c r="H27" s="48"/>
      <c r="I27" s="49"/>
      <c r="J27" s="49"/>
      <c r="K27" s="49"/>
      <c r="L27" s="49"/>
      <c r="M27" s="50"/>
      <c r="N27" s="51"/>
      <c r="O27" s="52"/>
      <c r="P27" s="53"/>
      <c r="Q27" s="216" t="str">
        <f>IF(O27&lt;&gt;"",(P27/O27)*100,"---------")</f>
        <v>---------</v>
      </c>
      <c r="R27" s="25"/>
      <c r="S27" s="86"/>
    </row>
    <row r="28" spans="1:19" ht="27.95" customHeight="1">
      <c r="A28" s="16"/>
      <c r="B28" s="108"/>
      <c r="C28" s="109"/>
      <c r="D28" s="109"/>
      <c r="E28" s="109"/>
      <c r="F28" s="109"/>
      <c r="G28" s="41"/>
      <c r="H28" s="48"/>
      <c r="I28" s="49"/>
      <c r="J28" s="49"/>
      <c r="K28" s="49"/>
      <c r="L28" s="49"/>
      <c r="M28" s="50"/>
      <c r="N28" s="51"/>
      <c r="O28" s="52"/>
      <c r="P28" s="53"/>
      <c r="Q28" s="216" t="str">
        <f>IF(O28&lt;&gt;"",(P28/O28)*100,"---------")</f>
        <v>---------</v>
      </c>
      <c r="R28" s="25"/>
      <c r="S28" s="86"/>
    </row>
    <row r="29" spans="1:19" ht="21.95" customHeight="1">
      <c r="A29" s="16"/>
      <c r="B29" s="108"/>
      <c r="C29" s="109"/>
      <c r="D29" s="109"/>
      <c r="E29" s="109"/>
      <c r="F29" s="109"/>
      <c r="G29" s="41"/>
      <c r="H29" s="48"/>
      <c r="I29" s="49"/>
      <c r="J29" s="49"/>
      <c r="K29" s="49"/>
      <c r="L29" s="49"/>
      <c r="M29" s="50"/>
      <c r="N29" s="51"/>
      <c r="O29" s="52"/>
      <c r="P29" s="53"/>
      <c r="Q29" s="216" t="str">
        <f>IF(O29&lt;&gt;"",(P29/O29)*100,"---------")</f>
        <v>---------</v>
      </c>
      <c r="R29" s="25"/>
      <c r="S29" s="86"/>
    </row>
    <row r="30" spans="1:19" ht="24.95" customHeight="1">
      <c r="A30" s="16"/>
      <c r="B30" s="108"/>
      <c r="C30" s="109"/>
      <c r="D30" s="109"/>
      <c r="E30" s="109"/>
      <c r="F30" s="109"/>
      <c r="G30" s="41"/>
      <c r="H30" s="48"/>
      <c r="I30" s="49"/>
      <c r="J30" s="49"/>
      <c r="K30" s="49"/>
      <c r="L30" s="49"/>
      <c r="M30" s="50"/>
      <c r="N30" s="51"/>
      <c r="O30" s="52"/>
      <c r="P30" s="53"/>
      <c r="Q30" s="216" t="str">
        <f t="shared" ref="Q26:Q31" si="0">IF(O30&lt;&gt;"",(P30/O30)*100,"---------")</f>
        <v>---------</v>
      </c>
      <c r="R30" s="25"/>
      <c r="S30" s="86"/>
    </row>
    <row r="31" spans="1:19" ht="24" customHeight="1" thickBot="1">
      <c r="A31" s="16"/>
      <c r="B31" s="190"/>
      <c r="C31" s="191"/>
      <c r="D31" s="191"/>
      <c r="E31" s="191"/>
      <c r="F31" s="191"/>
      <c r="G31" s="42"/>
      <c r="H31" s="54"/>
      <c r="I31" s="55"/>
      <c r="J31" s="55"/>
      <c r="K31" s="55"/>
      <c r="L31" s="55"/>
      <c r="M31" s="55"/>
      <c r="N31" s="56"/>
      <c r="O31" s="57"/>
      <c r="P31" s="58"/>
      <c r="Q31" s="217" t="str">
        <f t="shared" si="0"/>
        <v>---------</v>
      </c>
      <c r="R31" s="25"/>
      <c r="S31" s="86"/>
    </row>
    <row r="32" spans="1:1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86"/>
    </row>
    <row r="33" spans="1:21" ht="6.9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86"/>
    </row>
    <row r="34" spans="1:21" ht="21.95" customHeight="1" thickBot="1">
      <c r="A34" s="16"/>
      <c r="B34" s="16"/>
      <c r="C34" s="184" t="s">
        <v>25</v>
      </c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26"/>
      <c r="S34" s="86"/>
    </row>
    <row r="35" spans="1:21" ht="21.95" customHeight="1" thickBot="1">
      <c r="A35" s="16"/>
      <c r="B35" s="16"/>
      <c r="C35" s="186" t="s">
        <v>26</v>
      </c>
      <c r="D35" s="187"/>
      <c r="E35" s="187"/>
      <c r="F35" s="187"/>
      <c r="G35" s="187"/>
      <c r="H35" s="188"/>
      <c r="I35" s="161" t="s">
        <v>27</v>
      </c>
      <c r="J35" s="158"/>
      <c r="K35" s="156" t="s">
        <v>28</v>
      </c>
      <c r="L35" s="157"/>
      <c r="M35" s="157"/>
      <c r="N35" s="157"/>
      <c r="O35" s="158"/>
      <c r="P35" s="161" t="s">
        <v>27</v>
      </c>
      <c r="Q35" s="158"/>
      <c r="R35" s="27"/>
      <c r="S35" s="86"/>
    </row>
    <row r="36" spans="1:21" ht="18.95" customHeight="1">
      <c r="A36" s="16"/>
      <c r="B36" s="16"/>
      <c r="C36" s="159"/>
      <c r="D36" s="160"/>
      <c r="E36" s="160"/>
      <c r="F36" s="160"/>
      <c r="G36" s="160"/>
      <c r="H36" s="189"/>
      <c r="I36" s="251" t="s">
        <v>29</v>
      </c>
      <c r="J36" s="232"/>
      <c r="K36" s="226" t="s">
        <v>30</v>
      </c>
      <c r="L36" s="227"/>
      <c r="M36" s="227"/>
      <c r="N36" s="227"/>
      <c r="O36" s="228"/>
      <c r="P36" s="162" t="s">
        <v>31</v>
      </c>
      <c r="Q36" s="232"/>
      <c r="R36" s="23"/>
      <c r="S36" s="86"/>
    </row>
    <row r="37" spans="1:21" ht="21.95" customHeight="1">
      <c r="A37" s="16"/>
      <c r="B37" s="16"/>
      <c r="C37" s="128"/>
      <c r="D37" s="218"/>
      <c r="E37" s="218"/>
      <c r="F37" s="218"/>
      <c r="G37" s="218"/>
      <c r="H37" s="219"/>
      <c r="I37" s="220" t="s">
        <v>29</v>
      </c>
      <c r="J37" s="221"/>
      <c r="K37" s="229" t="s">
        <v>97</v>
      </c>
      <c r="L37" s="230"/>
      <c r="M37" s="230"/>
      <c r="N37" s="230"/>
      <c r="O37" s="231"/>
      <c r="P37" s="163" t="s">
        <v>31</v>
      </c>
      <c r="Q37" s="221"/>
      <c r="R37" s="23"/>
      <c r="S37" s="86"/>
    </row>
    <row r="38" spans="1:21" ht="21" customHeight="1">
      <c r="A38" s="16"/>
      <c r="B38" s="16"/>
      <c r="C38" s="128"/>
      <c r="D38" s="218"/>
      <c r="E38" s="218"/>
      <c r="F38" s="218"/>
      <c r="G38" s="218"/>
      <c r="H38" s="219"/>
      <c r="I38" s="220" t="s">
        <v>29</v>
      </c>
      <c r="J38" s="221"/>
      <c r="K38" s="229" t="s">
        <v>32</v>
      </c>
      <c r="L38" s="230"/>
      <c r="M38" s="230"/>
      <c r="N38" s="230"/>
      <c r="O38" s="231"/>
      <c r="P38" s="163" t="s">
        <v>31</v>
      </c>
      <c r="Q38" s="221"/>
      <c r="R38" s="23"/>
      <c r="S38" s="86"/>
    </row>
    <row r="39" spans="1:21" ht="23.1" customHeight="1">
      <c r="A39" s="16"/>
      <c r="B39" s="16"/>
      <c r="C39" s="128"/>
      <c r="D39" s="218"/>
      <c r="E39" s="218"/>
      <c r="F39" s="218"/>
      <c r="G39" s="218"/>
      <c r="H39" s="219"/>
      <c r="I39" s="220" t="s">
        <v>29</v>
      </c>
      <c r="J39" s="221"/>
      <c r="K39" s="229" t="s">
        <v>87</v>
      </c>
      <c r="L39" s="230"/>
      <c r="M39" s="230"/>
      <c r="N39" s="230"/>
      <c r="O39" s="231"/>
      <c r="P39" s="163" t="s">
        <v>31</v>
      </c>
      <c r="Q39" s="221"/>
      <c r="R39" s="23"/>
      <c r="S39" s="86"/>
    </row>
    <row r="40" spans="1:21" ht="23.1" customHeight="1">
      <c r="A40" s="16"/>
      <c r="B40" s="16"/>
      <c r="C40" s="128"/>
      <c r="D40" s="218"/>
      <c r="E40" s="218"/>
      <c r="F40" s="218"/>
      <c r="G40" s="218"/>
      <c r="H40" s="219"/>
      <c r="I40" s="220" t="s">
        <v>29</v>
      </c>
      <c r="J40" s="221"/>
      <c r="K40" s="233"/>
      <c r="L40" s="234"/>
      <c r="M40" s="234"/>
      <c r="N40" s="234"/>
      <c r="O40" s="234"/>
      <c r="P40" s="235"/>
      <c r="Q40" s="236"/>
      <c r="R40" s="28"/>
      <c r="S40" s="86"/>
    </row>
    <row r="41" spans="1:21" ht="23.1" customHeight="1">
      <c r="A41" s="16"/>
      <c r="B41" s="16"/>
      <c r="C41" s="128"/>
      <c r="D41" s="218"/>
      <c r="E41" s="218"/>
      <c r="F41" s="218"/>
      <c r="G41" s="218"/>
      <c r="H41" s="219"/>
      <c r="I41" s="220" t="s">
        <v>29</v>
      </c>
      <c r="J41" s="221"/>
      <c r="K41" s="237"/>
      <c r="L41" s="238"/>
      <c r="M41" s="238"/>
      <c r="N41" s="238"/>
      <c r="O41" s="238"/>
      <c r="P41" s="238"/>
      <c r="Q41" s="239"/>
      <c r="R41" s="28"/>
      <c r="S41" s="86"/>
    </row>
    <row r="42" spans="1:21" ht="23.1" customHeight="1" thickBot="1">
      <c r="A42" s="16"/>
      <c r="B42" s="16"/>
      <c r="C42" s="131"/>
      <c r="D42" s="222"/>
      <c r="E42" s="222"/>
      <c r="F42" s="222"/>
      <c r="G42" s="222"/>
      <c r="H42" s="223"/>
      <c r="I42" s="224" t="s">
        <v>29</v>
      </c>
      <c r="J42" s="225"/>
      <c r="K42" s="240"/>
      <c r="L42" s="241"/>
      <c r="M42" s="241"/>
      <c r="N42" s="241"/>
      <c r="O42" s="241"/>
      <c r="P42" s="241"/>
      <c r="Q42" s="242"/>
      <c r="R42" s="28"/>
      <c r="S42" s="86"/>
    </row>
    <row r="43" spans="1:2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86"/>
    </row>
    <row r="44" spans="1:21" ht="11.1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86"/>
    </row>
    <row r="45" spans="1:21" ht="24" customHeight="1" thickBot="1">
      <c r="A45" s="16"/>
      <c r="B45" s="16"/>
      <c r="C45" s="16"/>
      <c r="D45" s="129" t="s">
        <v>86</v>
      </c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6"/>
      <c r="Q45" s="16"/>
      <c r="R45" s="16"/>
      <c r="S45" s="86"/>
      <c r="U45" s="15"/>
    </row>
    <row r="46" spans="1:21">
      <c r="A46" s="16"/>
      <c r="B46" s="16"/>
      <c r="C46" s="16"/>
      <c r="D46" s="150" t="s">
        <v>33</v>
      </c>
      <c r="E46" s="151"/>
      <c r="F46" s="151"/>
      <c r="G46" s="151"/>
      <c r="H46" s="151"/>
      <c r="I46" s="151"/>
      <c r="J46" s="151"/>
      <c r="K46" s="172" t="s">
        <v>34</v>
      </c>
      <c r="L46" s="174" t="s">
        <v>35</v>
      </c>
      <c r="M46" s="122" t="s">
        <v>36</v>
      </c>
      <c r="N46" s="116" t="s">
        <v>35</v>
      </c>
      <c r="O46" s="135" t="s">
        <v>37</v>
      </c>
      <c r="P46" s="16"/>
      <c r="Q46" s="16"/>
      <c r="R46" s="16"/>
      <c r="S46" s="86"/>
      <c r="T46" s="39" t="s">
        <v>38</v>
      </c>
      <c r="U46" s="15"/>
    </row>
    <row r="47" spans="1:21" ht="15.75" thickBot="1">
      <c r="A47" s="16"/>
      <c r="B47" s="16"/>
      <c r="C47" s="16"/>
      <c r="D47" s="152"/>
      <c r="E47" s="153"/>
      <c r="F47" s="153"/>
      <c r="G47" s="153"/>
      <c r="H47" s="153"/>
      <c r="I47" s="153"/>
      <c r="J47" s="153"/>
      <c r="K47" s="173"/>
      <c r="L47" s="175"/>
      <c r="M47" s="123"/>
      <c r="N47" s="134"/>
      <c r="O47" s="136"/>
      <c r="P47" s="16"/>
      <c r="Q47" s="16"/>
      <c r="R47" s="16"/>
      <c r="S47" s="86"/>
      <c r="T47" s="88" t="str">
        <f>IF(K50=U62,"Correcto","Errado")</f>
        <v>Correcto</v>
      </c>
      <c r="U47" s="15"/>
    </row>
    <row r="48" spans="1:21" ht="18.95" customHeight="1">
      <c r="A48" s="16"/>
      <c r="B48" s="16"/>
      <c r="C48" s="16"/>
      <c r="D48" s="132" t="s">
        <v>92</v>
      </c>
      <c r="E48" s="133"/>
      <c r="F48" s="133"/>
      <c r="G48" s="133"/>
      <c r="H48" s="133"/>
      <c r="I48" s="133"/>
      <c r="J48" s="133"/>
      <c r="K48" s="59"/>
      <c r="L48" s="164"/>
      <c r="M48" s="165"/>
      <c r="N48" s="75" t="str">
        <f>IF(K48&lt;&gt;"",(K48/K48)*100,"100,0")</f>
        <v>100,0</v>
      </c>
      <c r="O48" s="76" t="s">
        <v>39</v>
      </c>
      <c r="P48" s="16"/>
      <c r="Q48" s="16"/>
      <c r="R48" s="16"/>
      <c r="S48" s="86"/>
    </row>
    <row r="49" spans="1:21" ht="21" customHeight="1" thickBot="1">
      <c r="A49" s="16"/>
      <c r="B49" s="16"/>
      <c r="C49" s="16"/>
      <c r="D49" s="148" t="s">
        <v>93</v>
      </c>
      <c r="E49" s="149"/>
      <c r="F49" s="149"/>
      <c r="G49" s="149"/>
      <c r="H49" s="149"/>
      <c r="I49" s="149"/>
      <c r="J49" s="149"/>
      <c r="K49" s="60"/>
      <c r="L49" s="63" t="str">
        <f>IF(K49&lt;&gt;0,(K49/K49)*100,"100,0")</f>
        <v>100,0</v>
      </c>
      <c r="M49" s="64" t="s">
        <v>40</v>
      </c>
      <c r="N49" s="65" t="str">
        <f>IF(K48&lt;&gt;"",(K49/K48)*100,"----")</f>
        <v>----</v>
      </c>
      <c r="O49" s="64" t="s">
        <v>41</v>
      </c>
      <c r="P49" s="16"/>
      <c r="Q49" s="16"/>
      <c r="R49" s="16"/>
      <c r="S49" s="86"/>
      <c r="T49" s="15"/>
      <c r="U49" s="15"/>
    </row>
    <row r="50" spans="1:21" ht="21" customHeight="1" thickBot="1">
      <c r="A50" s="16"/>
      <c r="B50" s="16"/>
      <c r="C50" s="16"/>
      <c r="D50" s="148" t="s">
        <v>42</v>
      </c>
      <c r="E50" s="145"/>
      <c r="F50" s="145"/>
      <c r="G50" s="145"/>
      <c r="H50" s="145"/>
      <c r="I50" s="145"/>
      <c r="J50" s="145"/>
      <c r="K50" s="243"/>
      <c r="L50" s="66" t="str">
        <f>IF(K49&lt;&gt;0,(K50/K49)*100,"----")</f>
        <v>----</v>
      </c>
      <c r="M50" s="67" t="s">
        <v>43</v>
      </c>
      <c r="N50" s="68" t="str">
        <f>IF(K48&lt;&gt;"",(K50/K48)*100,"----")</f>
        <v>----</v>
      </c>
      <c r="O50" s="69" t="s">
        <v>44</v>
      </c>
      <c r="P50" s="16"/>
      <c r="Q50" s="16"/>
      <c r="R50" s="16"/>
      <c r="S50" s="86"/>
      <c r="T50" s="77" t="s">
        <v>45</v>
      </c>
      <c r="U50" s="250"/>
    </row>
    <row r="51" spans="1:21" ht="20.100000000000001" customHeight="1">
      <c r="A51" s="16"/>
      <c r="B51" s="16"/>
      <c r="C51" s="16"/>
      <c r="D51" s="144" t="s">
        <v>46</v>
      </c>
      <c r="E51" s="145"/>
      <c r="F51" s="145"/>
      <c r="G51" s="145"/>
      <c r="H51" s="145"/>
      <c r="I51" s="145"/>
      <c r="J51" s="145"/>
      <c r="K51" s="41"/>
      <c r="L51" s="70" t="str">
        <f>IF(K49&lt;&gt;"",(K51/K49)*100,"----")</f>
        <v>----</v>
      </c>
      <c r="M51" s="71" t="s">
        <v>47</v>
      </c>
      <c r="N51" s="72" t="str">
        <f>IF(K48&lt;&gt;"",(K51/K48)*100,"----")</f>
        <v>----</v>
      </c>
      <c r="O51" s="64" t="s">
        <v>48</v>
      </c>
      <c r="P51" s="16"/>
      <c r="Q51" s="16"/>
      <c r="R51" s="16"/>
      <c r="S51" s="86"/>
      <c r="T51" s="78">
        <v>10</v>
      </c>
      <c r="U51" s="79"/>
    </row>
    <row r="52" spans="1:21" ht="21" customHeight="1">
      <c r="A52" s="16"/>
      <c r="B52" s="16"/>
      <c r="C52" s="16"/>
      <c r="D52" s="144" t="s">
        <v>49</v>
      </c>
      <c r="E52" s="145"/>
      <c r="F52" s="145"/>
      <c r="G52" s="145"/>
      <c r="H52" s="145"/>
      <c r="I52" s="145"/>
      <c r="J52" s="145"/>
      <c r="K52" s="61"/>
      <c r="L52" s="73" t="str">
        <f>IF(K49&lt;&gt;"",(K52/K49)*100,"----")</f>
        <v>----</v>
      </c>
      <c r="M52" s="67" t="s">
        <v>50</v>
      </c>
      <c r="N52" s="74" t="str">
        <f>IF(K48&lt;&gt;"",(K52/K48)*100,"----")</f>
        <v>----</v>
      </c>
      <c r="O52" s="69" t="s">
        <v>51</v>
      </c>
      <c r="P52" s="16"/>
      <c r="Q52" s="16"/>
      <c r="R52" s="16"/>
      <c r="S52" s="86"/>
      <c r="T52" s="80">
        <v>11</v>
      </c>
      <c r="U52" s="81"/>
    </row>
    <row r="53" spans="1:21" ht="21" customHeight="1">
      <c r="A53" s="16"/>
      <c r="B53" s="16"/>
      <c r="C53" s="16"/>
      <c r="D53" s="144" t="s">
        <v>98</v>
      </c>
      <c r="E53" s="145"/>
      <c r="F53" s="145"/>
      <c r="G53" s="145"/>
      <c r="H53" s="145"/>
      <c r="I53" s="145"/>
      <c r="J53" s="145"/>
      <c r="K53" s="41"/>
      <c r="L53" s="70" t="str">
        <f>IF(K49&lt;&gt;"",(K53/K49)*100,"----")</f>
        <v>----</v>
      </c>
      <c r="M53" s="71" t="s">
        <v>52</v>
      </c>
      <c r="N53" s="72" t="str">
        <f>IF(K48&lt;&gt;"",(K53/K48)*100,"----")</f>
        <v>----</v>
      </c>
      <c r="O53" s="64" t="s">
        <v>53</v>
      </c>
      <c r="P53" s="16"/>
      <c r="Q53" s="16"/>
      <c r="R53" s="16"/>
      <c r="S53" s="86"/>
      <c r="T53" s="80">
        <v>12</v>
      </c>
      <c r="U53" s="81"/>
    </row>
    <row r="54" spans="1:21" ht="21" customHeight="1">
      <c r="A54" s="16"/>
      <c r="B54" s="16"/>
      <c r="C54" s="16"/>
      <c r="D54" s="144" t="s">
        <v>54</v>
      </c>
      <c r="E54" s="145"/>
      <c r="F54" s="145"/>
      <c r="G54" s="145"/>
      <c r="H54" s="145"/>
      <c r="I54" s="145"/>
      <c r="J54" s="145"/>
      <c r="K54" s="61"/>
      <c r="L54" s="70" t="str">
        <f>IF(K50&lt;&gt;"",(K54/K50)*100,"----")</f>
        <v>----</v>
      </c>
      <c r="M54" s="71" t="s">
        <v>55</v>
      </c>
      <c r="N54" s="72" t="str">
        <f>IF(K49&lt;&gt;"",(K54/K49)*100,"----")</f>
        <v>----</v>
      </c>
      <c r="O54" s="64" t="s">
        <v>56</v>
      </c>
      <c r="P54" s="16"/>
      <c r="Q54" s="16"/>
      <c r="R54" s="16"/>
      <c r="S54" s="86"/>
      <c r="T54" s="80">
        <v>13</v>
      </c>
      <c r="U54" s="81"/>
    </row>
    <row r="55" spans="1:21" ht="21" customHeight="1">
      <c r="A55" s="16"/>
      <c r="B55" s="16"/>
      <c r="C55" s="16"/>
      <c r="D55" s="144" t="s">
        <v>57</v>
      </c>
      <c r="E55" s="145"/>
      <c r="F55" s="145"/>
      <c r="G55" s="145"/>
      <c r="H55" s="145"/>
      <c r="I55" s="145"/>
      <c r="J55" s="145"/>
      <c r="K55" s="62"/>
      <c r="L55" s="73" t="str">
        <f>IF(K49&lt;&gt;"",(K55/K49)*100,"----")</f>
        <v>----</v>
      </c>
      <c r="M55" s="67" t="s">
        <v>58</v>
      </c>
      <c r="N55" s="74" t="str">
        <f>IF(K48&lt;&gt;"",(K55/K48)*100,"----")</f>
        <v>----</v>
      </c>
      <c r="O55" s="69" t="s">
        <v>59</v>
      </c>
      <c r="P55" s="16"/>
      <c r="Q55" s="16"/>
      <c r="R55" s="16"/>
      <c r="S55" s="86"/>
      <c r="T55" s="80">
        <v>14</v>
      </c>
      <c r="U55" s="81"/>
    </row>
    <row r="56" spans="1:21" ht="21.95" customHeight="1">
      <c r="A56" s="16"/>
      <c r="B56" s="16"/>
      <c r="C56" s="16"/>
      <c r="D56" s="148" t="s">
        <v>60</v>
      </c>
      <c r="E56" s="145"/>
      <c r="F56" s="145"/>
      <c r="G56" s="145"/>
      <c r="H56" s="145"/>
      <c r="I56" s="145"/>
      <c r="J56" s="145"/>
      <c r="K56" s="60"/>
      <c r="L56" s="169"/>
      <c r="M56" s="170"/>
      <c r="N56" s="65" t="str">
        <f>IF(K48&lt;&gt;"",(K56/K48)*100,"----")</f>
        <v>----</v>
      </c>
      <c r="O56" s="64" t="s">
        <v>61</v>
      </c>
      <c r="P56" s="16"/>
      <c r="Q56" s="16"/>
      <c r="R56" s="16"/>
      <c r="S56" s="86"/>
      <c r="T56" s="80">
        <v>15</v>
      </c>
      <c r="U56" s="82"/>
    </row>
    <row r="57" spans="1:21" ht="21" customHeight="1">
      <c r="A57" s="16"/>
      <c r="B57" s="16"/>
      <c r="C57" s="16"/>
      <c r="D57" s="144" t="s">
        <v>62</v>
      </c>
      <c r="E57" s="145"/>
      <c r="F57" s="145"/>
      <c r="G57" s="145"/>
      <c r="H57" s="145"/>
      <c r="I57" s="145"/>
      <c r="J57" s="145"/>
      <c r="K57" s="61"/>
      <c r="L57" s="70" t="str">
        <f>IF(K49&lt;&gt;"",(K57/K49)*100,"----")</f>
        <v>----</v>
      </c>
      <c r="M57" s="67" t="s">
        <v>63</v>
      </c>
      <c r="N57" s="74" t="str">
        <f>IF(K48&lt;&gt;"",(K57/K48)*100,"----")</f>
        <v>----</v>
      </c>
      <c r="O57" s="69" t="s">
        <v>64</v>
      </c>
      <c r="P57" s="16"/>
      <c r="Q57" s="16"/>
      <c r="R57" s="16"/>
      <c r="S57" s="86"/>
      <c r="T57" s="80">
        <v>16</v>
      </c>
      <c r="U57" s="81"/>
    </row>
    <row r="58" spans="1:21" ht="21" customHeight="1">
      <c r="A58" s="16"/>
      <c r="B58" s="16"/>
      <c r="C58" s="16"/>
      <c r="D58" s="144" t="s">
        <v>65</v>
      </c>
      <c r="E58" s="145"/>
      <c r="F58" s="145"/>
      <c r="G58" s="145"/>
      <c r="H58" s="145"/>
      <c r="I58" s="145"/>
      <c r="J58" s="145"/>
      <c r="K58" s="41"/>
      <c r="L58" s="171"/>
      <c r="M58" s="170"/>
      <c r="N58" s="72" t="str">
        <f>IF(K48&lt;&gt;"",(K58/K48)*100,"----")</f>
        <v>----</v>
      </c>
      <c r="O58" s="64" t="s">
        <v>66</v>
      </c>
      <c r="P58" s="16"/>
      <c r="Q58" s="16"/>
      <c r="R58" s="16"/>
      <c r="S58" s="86"/>
      <c r="T58" s="80">
        <v>17</v>
      </c>
      <c r="U58" s="81"/>
    </row>
    <row r="59" spans="1:21" ht="21" customHeight="1">
      <c r="A59" s="16"/>
      <c r="B59" s="16"/>
      <c r="C59" s="16"/>
      <c r="D59" s="148" t="s">
        <v>67</v>
      </c>
      <c r="E59" s="145"/>
      <c r="F59" s="145"/>
      <c r="G59" s="145"/>
      <c r="H59" s="145"/>
      <c r="I59" s="145"/>
      <c r="J59" s="145"/>
      <c r="K59" s="166"/>
      <c r="L59" s="167"/>
      <c r="M59" s="167"/>
      <c r="N59" s="167"/>
      <c r="O59" s="168"/>
      <c r="P59" s="16"/>
      <c r="Q59" s="16"/>
      <c r="R59" s="16"/>
      <c r="S59" s="86"/>
      <c r="T59" s="80">
        <v>18</v>
      </c>
      <c r="U59" s="81"/>
    </row>
    <row r="60" spans="1:21" ht="20.100000000000001" customHeight="1">
      <c r="A60" s="16"/>
      <c r="B60" s="16"/>
      <c r="C60" s="16"/>
      <c r="D60" s="144" t="s">
        <v>68</v>
      </c>
      <c r="E60" s="145"/>
      <c r="F60" s="145"/>
      <c r="G60" s="145"/>
      <c r="H60" s="145"/>
      <c r="I60" s="145"/>
      <c r="J60" s="145"/>
      <c r="K60" s="244"/>
      <c r="L60" s="70" t="str">
        <f>IF(K50&lt;&gt;0,(K60/K50)*100,"----")</f>
        <v>----</v>
      </c>
      <c r="M60" s="71" t="s">
        <v>69</v>
      </c>
      <c r="N60" s="72" t="str">
        <f>IF(K48&lt;&gt;"",(K60/K48)*100,"----")</f>
        <v>----</v>
      </c>
      <c r="O60" s="64" t="s">
        <v>70</v>
      </c>
      <c r="P60" s="16"/>
      <c r="Q60" s="16"/>
      <c r="R60" s="16"/>
      <c r="S60" s="86"/>
      <c r="T60" s="80">
        <v>19</v>
      </c>
      <c r="U60" s="81"/>
    </row>
    <row r="61" spans="1:21" ht="21" customHeight="1" thickBot="1">
      <c r="A61" s="16"/>
      <c r="B61" s="16"/>
      <c r="C61" s="16"/>
      <c r="D61" s="144" t="s">
        <v>71</v>
      </c>
      <c r="E61" s="145"/>
      <c r="F61" s="145"/>
      <c r="G61" s="145"/>
      <c r="H61" s="145"/>
      <c r="I61" s="145"/>
      <c r="J61" s="145"/>
      <c r="K61" s="245"/>
      <c r="L61" s="73" t="str">
        <f>IF(K50&lt;&gt;0,(K61/K50)*100,"----")</f>
        <v>----</v>
      </c>
      <c r="M61" s="67" t="s">
        <v>72</v>
      </c>
      <c r="N61" s="74" t="str">
        <f>IF(K48&lt;&gt;"",(K61/K48)*100,"----")</f>
        <v>----</v>
      </c>
      <c r="O61" s="69" t="s">
        <v>73</v>
      </c>
      <c r="P61" s="16"/>
      <c r="Q61" s="16"/>
      <c r="R61" s="16"/>
      <c r="S61" s="86"/>
      <c r="T61" s="83">
        <v>20</v>
      </c>
      <c r="U61" s="84"/>
    </row>
    <row r="62" spans="1:21" ht="21.95" customHeight="1" thickBot="1">
      <c r="A62" s="16"/>
      <c r="B62" s="16"/>
      <c r="C62" s="16"/>
      <c r="D62" s="144" t="s">
        <v>74</v>
      </c>
      <c r="E62" s="145"/>
      <c r="F62" s="145"/>
      <c r="G62" s="145"/>
      <c r="H62" s="145"/>
      <c r="I62" s="145"/>
      <c r="J62" s="145"/>
      <c r="K62" s="244"/>
      <c r="L62" s="70" t="str">
        <f>IF(K50&lt;&gt;0,(K62/K50)*100,"----")</f>
        <v>----</v>
      </c>
      <c r="M62" s="71" t="s">
        <v>75</v>
      </c>
      <c r="N62" s="72" t="str">
        <f>IF(K48&lt;&gt;"",(K62/K48)*100,"----")</f>
        <v>----</v>
      </c>
      <c r="O62" s="64" t="s">
        <v>76</v>
      </c>
      <c r="P62" s="16"/>
      <c r="Q62" s="16"/>
      <c r="R62" s="16"/>
      <c r="S62" s="86"/>
      <c r="T62" s="83" t="s">
        <v>77</v>
      </c>
      <c r="U62" s="85">
        <f>SUM(U51:U61)</f>
        <v>0</v>
      </c>
    </row>
    <row r="63" spans="1:21" ht="24" customHeight="1" thickBot="1">
      <c r="A63" s="16"/>
      <c r="B63" s="16"/>
      <c r="C63" s="16"/>
      <c r="D63" s="146" t="s">
        <v>94</v>
      </c>
      <c r="E63" s="147"/>
      <c r="F63" s="147"/>
      <c r="G63" s="147"/>
      <c r="H63" s="147"/>
      <c r="I63" s="147"/>
      <c r="J63" s="147"/>
      <c r="K63" s="154" t="str">
        <f>IF(SUM(U51:U61)&lt;&gt;0,(T51*U51+T52*U52+T53*U53+T54*U54+T55*U55+T56*U56+T57*U57+T58*U58+T59*U59+T60*U60+T61*U61)/SUM(U51:U61),"0,00")</f>
        <v>0,00</v>
      </c>
      <c r="L63" s="155"/>
      <c r="M63" s="155"/>
      <c r="N63" s="155"/>
      <c r="O63" s="98"/>
      <c r="P63" s="16"/>
      <c r="Q63" s="16"/>
      <c r="R63" s="16"/>
      <c r="S63" s="86"/>
    </row>
    <row r="64" spans="1:21" ht="9.9499999999999993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86"/>
    </row>
    <row r="65" spans="1:19" ht="15.75">
      <c r="A65" s="16"/>
      <c r="B65" s="16"/>
      <c r="C65" s="16"/>
      <c r="D65" s="137" t="s">
        <v>78</v>
      </c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2"/>
      <c r="S65" s="86"/>
    </row>
    <row r="66" spans="1:19" ht="15.75">
      <c r="A66" s="16"/>
      <c r="B66" s="16"/>
      <c r="C66" s="16"/>
      <c r="D66" s="137" t="s">
        <v>79</v>
      </c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2"/>
      <c r="S66" s="86"/>
    </row>
    <row r="67" spans="1:19" ht="15.75">
      <c r="A67" s="16"/>
      <c r="B67" s="16"/>
      <c r="C67" s="16"/>
      <c r="D67" s="3" t="s">
        <v>80</v>
      </c>
      <c r="E67" s="13"/>
      <c r="F67" s="137" t="s">
        <v>81</v>
      </c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2"/>
      <c r="S67" s="86"/>
    </row>
    <row r="68" spans="1:19">
      <c r="A68" s="16"/>
      <c r="B68" s="16"/>
      <c r="C68" s="16"/>
      <c r="D68" s="3"/>
      <c r="E68" s="13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30" t="s">
        <v>91</v>
      </c>
      <c r="R68" s="2"/>
      <c r="S68" s="86"/>
    </row>
    <row r="69" spans="1:19" ht="132" customHeight="1">
      <c r="A69" s="16"/>
      <c r="B69" s="16"/>
      <c r="C69" s="16"/>
      <c r="D69" s="140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5"/>
      <c r="S69" s="86"/>
    </row>
    <row r="70" spans="1:19" ht="24" customHeight="1" thickBot="1">
      <c r="A70" s="16"/>
      <c r="B70" s="16"/>
      <c r="C70" s="129" t="s">
        <v>85</v>
      </c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6"/>
      <c r="R70" s="29"/>
      <c r="S70" s="86"/>
    </row>
    <row r="71" spans="1:19">
      <c r="A71" s="16"/>
      <c r="B71" s="16"/>
      <c r="C71" s="31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3"/>
      <c r="Q71" s="16"/>
      <c r="R71" s="14"/>
      <c r="S71" s="86"/>
    </row>
    <row r="72" spans="1:19">
      <c r="A72" s="16"/>
      <c r="B72" s="16"/>
      <c r="C72" s="3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35"/>
      <c r="Q72" s="16"/>
      <c r="R72" s="9"/>
      <c r="S72" s="86"/>
    </row>
    <row r="73" spans="1:19">
      <c r="A73" s="16"/>
      <c r="B73" s="16"/>
      <c r="C73" s="3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35"/>
      <c r="Q73" s="16"/>
      <c r="R73" s="9"/>
      <c r="S73" s="86"/>
    </row>
    <row r="74" spans="1:19">
      <c r="A74" s="16"/>
      <c r="B74" s="16"/>
      <c r="C74" s="3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35"/>
      <c r="Q74" s="16"/>
      <c r="R74" s="9"/>
      <c r="S74" s="86"/>
    </row>
    <row r="75" spans="1:19">
      <c r="A75" s="16"/>
      <c r="B75" s="16"/>
      <c r="C75" s="3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35"/>
      <c r="Q75" s="16"/>
      <c r="R75" s="9"/>
      <c r="S75" s="86"/>
    </row>
    <row r="76" spans="1:19">
      <c r="A76" s="16"/>
      <c r="B76" s="16"/>
      <c r="C76" s="34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35"/>
      <c r="Q76" s="16"/>
      <c r="R76" s="9"/>
      <c r="S76" s="86"/>
    </row>
    <row r="77" spans="1:19">
      <c r="A77" s="16"/>
      <c r="B77" s="16"/>
      <c r="C77" s="3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35"/>
      <c r="Q77" s="16"/>
      <c r="R77" s="9"/>
      <c r="S77" s="86"/>
    </row>
    <row r="78" spans="1:19">
      <c r="A78" s="16"/>
      <c r="B78" s="16"/>
      <c r="C78" s="34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35"/>
      <c r="Q78" s="16"/>
      <c r="R78" s="9"/>
      <c r="S78" s="86"/>
    </row>
    <row r="79" spans="1:19">
      <c r="A79" s="16"/>
      <c r="B79" s="16"/>
      <c r="C79" s="34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35"/>
      <c r="Q79" s="16"/>
      <c r="R79" s="9"/>
      <c r="S79" s="86"/>
    </row>
    <row r="80" spans="1:19">
      <c r="A80" s="16"/>
      <c r="B80" s="16"/>
      <c r="C80" s="3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35"/>
      <c r="Q80" s="16"/>
      <c r="R80" s="9"/>
      <c r="S80" s="86"/>
    </row>
    <row r="81" spans="1:19">
      <c r="A81" s="16"/>
      <c r="B81" s="16"/>
      <c r="C81" s="34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35"/>
      <c r="Q81" s="16"/>
      <c r="R81" s="9"/>
      <c r="S81" s="86"/>
    </row>
    <row r="82" spans="1:19">
      <c r="A82" s="16"/>
      <c r="B82" s="16"/>
      <c r="C82" s="34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35"/>
      <c r="Q82" s="16"/>
      <c r="R82" s="9"/>
      <c r="S82" s="86"/>
    </row>
    <row r="83" spans="1:19">
      <c r="A83" s="16"/>
      <c r="B83" s="16"/>
      <c r="C83" s="34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35"/>
      <c r="Q83" s="16"/>
      <c r="R83" s="9"/>
      <c r="S83" s="86"/>
    </row>
    <row r="84" spans="1:19">
      <c r="A84" s="16"/>
      <c r="B84" s="16"/>
      <c r="C84" s="34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35"/>
      <c r="Q84" s="16"/>
      <c r="R84" s="9"/>
      <c r="S84" s="86"/>
    </row>
    <row r="85" spans="1:19">
      <c r="A85" s="16"/>
      <c r="B85" s="16"/>
      <c r="C85" s="34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35"/>
      <c r="Q85" s="16"/>
      <c r="R85" s="9"/>
      <c r="S85" s="86"/>
    </row>
    <row r="86" spans="1:19">
      <c r="A86" s="16"/>
      <c r="B86" s="16"/>
      <c r="C86" s="34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35"/>
      <c r="Q86" s="16"/>
      <c r="R86" s="9"/>
      <c r="S86" s="86"/>
    </row>
    <row r="87" spans="1:19">
      <c r="A87" s="16"/>
      <c r="B87" s="16"/>
      <c r="C87" s="34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35"/>
      <c r="Q87" s="16"/>
      <c r="R87" s="9"/>
      <c r="S87" s="86"/>
    </row>
    <row r="88" spans="1:19">
      <c r="A88" s="16"/>
      <c r="B88" s="16"/>
      <c r="C88" s="34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35"/>
      <c r="Q88" s="16"/>
      <c r="R88" s="9"/>
      <c r="S88" s="86"/>
    </row>
    <row r="89" spans="1:19">
      <c r="A89" s="16"/>
      <c r="B89" s="16"/>
      <c r="C89" s="34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35"/>
      <c r="Q89" s="16"/>
      <c r="R89" s="9"/>
      <c r="S89" s="86"/>
    </row>
    <row r="90" spans="1:19">
      <c r="A90" s="16"/>
      <c r="B90" s="16"/>
      <c r="C90" s="34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35"/>
      <c r="Q90" s="16"/>
      <c r="R90" s="9"/>
      <c r="S90" s="86"/>
    </row>
    <row r="91" spans="1:19">
      <c r="A91" s="16"/>
      <c r="B91" s="16"/>
      <c r="C91" s="34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35"/>
      <c r="Q91" s="16"/>
      <c r="R91" s="9"/>
      <c r="S91" s="86"/>
    </row>
    <row r="92" spans="1:19">
      <c r="A92" s="16"/>
      <c r="B92" s="16"/>
      <c r="C92" s="3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35"/>
      <c r="Q92" s="16"/>
      <c r="R92" s="9"/>
      <c r="S92" s="86"/>
    </row>
    <row r="93" spans="1:19">
      <c r="A93" s="16"/>
      <c r="B93" s="16"/>
      <c r="C93" s="34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35"/>
      <c r="Q93" s="16"/>
      <c r="R93" s="9"/>
      <c r="S93" s="86"/>
    </row>
    <row r="94" spans="1:19">
      <c r="A94" s="16"/>
      <c r="B94" s="16"/>
      <c r="C94" s="34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35"/>
      <c r="Q94" s="16"/>
      <c r="R94" s="9"/>
      <c r="S94" s="86"/>
    </row>
    <row r="95" spans="1:19">
      <c r="A95" s="16"/>
      <c r="B95" s="16"/>
      <c r="C95" s="34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35"/>
      <c r="Q95" s="16"/>
      <c r="R95" s="9"/>
      <c r="S95" s="86"/>
    </row>
    <row r="96" spans="1:19">
      <c r="A96" s="16"/>
      <c r="B96" s="16"/>
      <c r="C96" s="34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35"/>
      <c r="Q96" s="16"/>
      <c r="R96" s="9"/>
      <c r="S96" s="86"/>
    </row>
    <row r="97" spans="1:19">
      <c r="A97" s="16"/>
      <c r="B97" s="16"/>
      <c r="C97" s="34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35"/>
      <c r="Q97" s="16"/>
      <c r="R97" s="9"/>
      <c r="S97" s="86"/>
    </row>
    <row r="98" spans="1:19">
      <c r="A98" s="16"/>
      <c r="B98" s="16"/>
      <c r="C98" s="34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35"/>
      <c r="Q98" s="16"/>
      <c r="R98" s="9"/>
      <c r="S98" s="86"/>
    </row>
    <row r="99" spans="1:19" ht="290.10000000000002" customHeight="1" thickBot="1">
      <c r="A99" s="16"/>
      <c r="B99" s="16"/>
      <c r="C99" s="36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8"/>
      <c r="Q99" s="16"/>
      <c r="R99" s="9"/>
      <c r="S99" s="86"/>
    </row>
    <row r="100" spans="1:19">
      <c r="A100" s="16"/>
      <c r="B100" s="16"/>
      <c r="C100" s="1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86"/>
    </row>
    <row r="101" spans="1:19">
      <c r="A101" s="16"/>
      <c r="B101" s="16"/>
      <c r="C101" s="16"/>
      <c r="D101" s="7"/>
      <c r="E101" s="7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86"/>
    </row>
    <row r="102" spans="1:19">
      <c r="A102" s="16"/>
      <c r="B102" s="16"/>
      <c r="C102" s="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86"/>
    </row>
    <row r="103" spans="1:19">
      <c r="A103" s="16"/>
      <c r="B103" s="16"/>
      <c r="C103" s="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86"/>
    </row>
    <row r="104" spans="1:19" ht="33" customHeight="1">
      <c r="A104" s="16"/>
      <c r="B104" s="16"/>
      <c r="C104" s="16"/>
      <c r="D104" s="1"/>
      <c r="E104" s="1"/>
      <c r="F104" s="246" t="s">
        <v>82</v>
      </c>
      <c r="G104" s="247"/>
      <c r="H104" s="247"/>
      <c r="I104" s="1"/>
      <c r="J104" s="1"/>
      <c r="K104" s="1"/>
      <c r="L104" s="1"/>
      <c r="M104" s="8"/>
      <c r="N104" s="1"/>
      <c r="O104" s="1"/>
      <c r="P104" s="1"/>
      <c r="Q104" s="1"/>
      <c r="R104" s="1"/>
      <c r="S104" s="86"/>
    </row>
    <row r="105" spans="1:19">
      <c r="A105" s="16"/>
      <c r="B105" s="16"/>
      <c r="C105" s="16"/>
      <c r="D105" s="1"/>
      <c r="E105" s="1"/>
      <c r="F105" s="248"/>
      <c r="G105" s="249"/>
      <c r="H105" s="248"/>
      <c r="I105" s="248"/>
      <c r="J105" s="1"/>
      <c r="K105" s="1"/>
      <c r="L105" s="1"/>
      <c r="M105" s="8"/>
      <c r="N105" s="1"/>
      <c r="O105" s="1"/>
      <c r="P105" s="1"/>
      <c r="Q105" s="1"/>
      <c r="R105" s="1"/>
      <c r="S105" s="86"/>
    </row>
    <row r="106" spans="1:19">
      <c r="A106" s="16"/>
      <c r="B106" s="16"/>
      <c r="C106" s="16"/>
      <c r="D106" s="1"/>
      <c r="E106" s="1"/>
      <c r="F106" s="248"/>
      <c r="G106" s="248"/>
      <c r="H106" s="248"/>
      <c r="I106" s="248"/>
      <c r="J106" s="1"/>
      <c r="K106" s="1"/>
      <c r="L106" s="1"/>
      <c r="M106" s="1"/>
      <c r="N106" s="1"/>
      <c r="O106" s="1"/>
      <c r="P106" s="1"/>
      <c r="Q106" s="1"/>
      <c r="R106" s="1"/>
      <c r="S106" s="86"/>
    </row>
    <row r="107" spans="1:19">
      <c r="A107" s="16"/>
      <c r="B107" s="16"/>
      <c r="C107" s="16"/>
      <c r="D107" s="1"/>
      <c r="E107" s="1"/>
      <c r="F107" s="96" t="s">
        <v>95</v>
      </c>
      <c r="G107" s="97"/>
      <c r="H107" s="97"/>
      <c r="I107" s="97"/>
      <c r="J107" s="1"/>
      <c r="K107" s="1"/>
      <c r="L107" s="1"/>
      <c r="M107" s="8"/>
      <c r="N107" s="1"/>
      <c r="O107" s="1"/>
      <c r="P107" s="1"/>
      <c r="Q107" s="1"/>
      <c r="R107" s="1"/>
      <c r="S107" s="86"/>
    </row>
    <row r="108" spans="1:19">
      <c r="A108" s="16"/>
      <c r="B108" s="16"/>
      <c r="C108" s="16"/>
      <c r="D108" s="1"/>
      <c r="E108" s="1"/>
      <c r="F108" s="249"/>
      <c r="G108" s="249"/>
      <c r="H108" s="248"/>
      <c r="I108" s="248"/>
      <c r="J108" s="1"/>
      <c r="K108" s="1"/>
      <c r="L108" s="1"/>
      <c r="M108" s="8"/>
      <c r="N108" s="1"/>
      <c r="O108" s="1"/>
      <c r="P108" s="1"/>
      <c r="Q108" s="1"/>
      <c r="R108" s="1"/>
      <c r="S108" s="86"/>
    </row>
    <row r="109" spans="1:19">
      <c r="A109" s="16"/>
      <c r="B109" s="16"/>
      <c r="C109" s="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86"/>
    </row>
    <row r="110" spans="1:19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S110" s="86"/>
    </row>
    <row r="111" spans="1:19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86"/>
    </row>
    <row r="112" spans="1:19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</row>
  </sheetData>
  <sheetProtection algorithmName="SHA-512" hashValue="i/a1+3oKVQZtapZH+Y6BX5qW35a1d4sythPuTljGjE3WPSkHD86KyhAcrx2ZNcVWpSa9i9amY6/XWe94ndGC5g==" saltValue="G3UUb+2TgIKcQazM/HZ8vQ==" spinCount="100000" sheet="1" scenarios="1" formatCells="0" formatColumns="0" formatRows="0"/>
  <mergeCells count="91">
    <mergeCell ref="C70:P70"/>
    <mergeCell ref="A3:P3"/>
    <mergeCell ref="C40:H40"/>
    <mergeCell ref="C41:H41"/>
    <mergeCell ref="K39:O39"/>
    <mergeCell ref="C34:Q34"/>
    <mergeCell ref="K40:Q42"/>
    <mergeCell ref="I36:J36"/>
    <mergeCell ref="I35:J35"/>
    <mergeCell ref="C35:H35"/>
    <mergeCell ref="C36:H36"/>
    <mergeCell ref="B29:F29"/>
    <mergeCell ref="B30:F30"/>
    <mergeCell ref="B31:F31"/>
    <mergeCell ref="B26:F26"/>
    <mergeCell ref="D9:M9"/>
    <mergeCell ref="N9:O9"/>
    <mergeCell ref="D10:M10"/>
    <mergeCell ref="N10:O10"/>
    <mergeCell ref="D12:M12"/>
    <mergeCell ref="N12:O12"/>
    <mergeCell ref="D54:J54"/>
    <mergeCell ref="D55:J55"/>
    <mergeCell ref="D52:J52"/>
    <mergeCell ref="D53:J53"/>
    <mergeCell ref="D50:J50"/>
    <mergeCell ref="D51:J51"/>
    <mergeCell ref="K63:O63"/>
    <mergeCell ref="K35:O35"/>
    <mergeCell ref="K36:O36"/>
    <mergeCell ref="P35:Q35"/>
    <mergeCell ref="P36:Q36"/>
    <mergeCell ref="P37:Q37"/>
    <mergeCell ref="P38:Q38"/>
    <mergeCell ref="P39:Q39"/>
    <mergeCell ref="K37:O37"/>
    <mergeCell ref="K38:O38"/>
    <mergeCell ref="L48:M48"/>
    <mergeCell ref="K59:O59"/>
    <mergeCell ref="L56:M56"/>
    <mergeCell ref="L58:M58"/>
    <mergeCell ref="K46:K47"/>
    <mergeCell ref="L46:L47"/>
    <mergeCell ref="D66:Q66"/>
    <mergeCell ref="F67:Q67"/>
    <mergeCell ref="D69:Q69"/>
    <mergeCell ref="D4:O4"/>
    <mergeCell ref="D6:O6"/>
    <mergeCell ref="D62:J62"/>
    <mergeCell ref="D63:J63"/>
    <mergeCell ref="D65:Q65"/>
    <mergeCell ref="D60:J60"/>
    <mergeCell ref="D61:J61"/>
    <mergeCell ref="D58:J58"/>
    <mergeCell ref="D59:J59"/>
    <mergeCell ref="D56:J56"/>
    <mergeCell ref="D57:J57"/>
    <mergeCell ref="D49:J49"/>
    <mergeCell ref="D46:J47"/>
    <mergeCell ref="M46:M47"/>
    <mergeCell ref="D48:J48"/>
    <mergeCell ref="N46:N47"/>
    <mergeCell ref="O46:O47"/>
    <mergeCell ref="C39:H39"/>
    <mergeCell ref="Q24:Q25"/>
    <mergeCell ref="C37:H37"/>
    <mergeCell ref="C38:H38"/>
    <mergeCell ref="D45:O45"/>
    <mergeCell ref="C42:H42"/>
    <mergeCell ref="I37:J37"/>
    <mergeCell ref="I38:J38"/>
    <mergeCell ref="I39:J39"/>
    <mergeCell ref="I40:J40"/>
    <mergeCell ref="I41:J41"/>
    <mergeCell ref="I42:J42"/>
    <mergeCell ref="F104:H104"/>
    <mergeCell ref="F107:I107"/>
    <mergeCell ref="N13:O13"/>
    <mergeCell ref="D15:K15"/>
    <mergeCell ref="D16:K16"/>
    <mergeCell ref="D17:F19"/>
    <mergeCell ref="B27:F27"/>
    <mergeCell ref="D13:M13"/>
    <mergeCell ref="G17:O17"/>
    <mergeCell ref="D21:O21"/>
    <mergeCell ref="B28:F28"/>
    <mergeCell ref="B23:Q23"/>
    <mergeCell ref="B24:F25"/>
    <mergeCell ref="G24:G25"/>
    <mergeCell ref="H24:N24"/>
    <mergeCell ref="O24:P24"/>
  </mergeCells>
  <pageMargins left="0.7" right="0.7" top="0.75" bottom="0.75" header="0.3" footer="0.3"/>
  <pageSetup paperSize="9" scale="60"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RUC</vt:lpstr>
      <vt:lpstr>RUC!Area_de_impressao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RUC</dc:title>
  <dc:subject/>
  <dc:creator>Carlos Duarte</dc:creator>
  <cp:keywords/>
  <dc:description/>
  <cp:lastModifiedBy>Cláudia Correia</cp:lastModifiedBy>
  <dcterms:created xsi:type="dcterms:W3CDTF">2025-02-05T20:07:24Z</dcterms:created>
  <dcterms:modified xsi:type="dcterms:W3CDTF">2025-02-17T14:46:37Z</dcterms:modified>
  <cp:category/>
</cp:coreProperties>
</file>